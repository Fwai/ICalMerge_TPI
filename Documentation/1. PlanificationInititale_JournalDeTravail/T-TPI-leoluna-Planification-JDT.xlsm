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leoluna\Desktop\GitTPI\GitICalMerge\ICalMerge_TPI\Documentation\1. PlanificationInititale_JournalDeTravail\"/>
    </mc:Choice>
  </mc:AlternateContent>
  <bookViews>
    <workbookView xWindow="0" yWindow="0" windowWidth="28800" windowHeight="1233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C176" i="12"/>
  <c r="C175" i="12"/>
  <c r="C174" i="12"/>
  <c r="C173" i="12"/>
  <c r="C172" i="12"/>
  <c r="B192" i="12"/>
  <c r="C191" i="12"/>
  <c r="C190" i="12"/>
  <c r="C189" i="12"/>
  <c r="C188" i="12"/>
  <c r="C187" i="12"/>
  <c r="C186" i="12"/>
  <c r="C185" i="12"/>
  <c r="C184" i="12"/>
  <c r="B204" i="12"/>
  <c r="C203" i="12"/>
  <c r="C202" i="12"/>
  <c r="C201" i="12"/>
  <c r="C200" i="12"/>
  <c r="C199" i="12"/>
  <c r="C198" i="12"/>
  <c r="C197" i="12"/>
  <c r="C196" i="12"/>
  <c r="B216" i="12"/>
  <c r="C215" i="12"/>
  <c r="C214" i="12"/>
  <c r="C213" i="12"/>
  <c r="C212" i="12"/>
  <c r="C211" i="12"/>
  <c r="C210" i="12"/>
  <c r="C209" i="12"/>
  <c r="C208" i="12"/>
  <c r="B228" i="12"/>
  <c r="C227" i="12"/>
  <c r="C226" i="12"/>
  <c r="C225" i="12"/>
  <c r="C224" i="12"/>
  <c r="C223" i="12"/>
  <c r="C222" i="12"/>
  <c r="C221" i="12"/>
  <c r="C220" i="12"/>
  <c r="B240" i="12"/>
  <c r="C239" i="12"/>
  <c r="C238" i="12"/>
  <c r="C237" i="12"/>
  <c r="C236" i="12"/>
  <c r="C235" i="12"/>
  <c r="C234" i="12"/>
  <c r="C233" i="12"/>
  <c r="C232" i="12"/>
  <c r="B252" i="12"/>
  <c r="C251" i="12"/>
  <c r="C250" i="12"/>
  <c r="C249" i="12"/>
  <c r="C248" i="12"/>
  <c r="C247" i="12"/>
  <c r="C246" i="12"/>
  <c r="C245" i="12"/>
  <c r="C244" i="12"/>
  <c r="B264" i="12"/>
  <c r="C263" i="12"/>
  <c r="C262" i="12"/>
  <c r="C261" i="12"/>
  <c r="C260" i="12"/>
  <c r="C259" i="12"/>
  <c r="C258" i="12"/>
  <c r="C257" i="12"/>
  <c r="C256" i="12"/>
  <c r="B276" i="12"/>
  <c r="C275" i="12"/>
  <c r="C274" i="12"/>
  <c r="C273" i="12"/>
  <c r="C272" i="12"/>
  <c r="C271" i="12"/>
  <c r="C270" i="12"/>
  <c r="C269" i="12"/>
  <c r="C268" i="12"/>
  <c r="B288" i="12"/>
  <c r="C287" i="12"/>
  <c r="C286" i="12"/>
  <c r="C285" i="12"/>
  <c r="C284" i="12"/>
  <c r="C283" i="12"/>
  <c r="C282" i="12"/>
  <c r="C281" i="12"/>
  <c r="C280" i="12"/>
  <c r="B300" i="12"/>
  <c r="C296" i="12"/>
  <c r="B310" i="12"/>
  <c r="B6" i="10"/>
  <c r="B12" i="10"/>
  <c r="B18" i="10"/>
  <c r="B26" i="10"/>
  <c r="B34" i="10"/>
  <c r="B41" i="10"/>
  <c r="B48" i="10"/>
  <c r="B56" i="10"/>
  <c r="B63" i="10"/>
  <c r="B70" i="10"/>
  <c r="B77" i="10"/>
  <c r="B84" i="10"/>
  <c r="B91" i="10"/>
  <c r="B98" i="10"/>
  <c r="B105" i="10"/>
  <c r="B113" i="10"/>
  <c r="B120" i="10"/>
  <c r="B127" i="10"/>
  <c r="B134" i="10"/>
  <c r="B141" i="10"/>
  <c r="B149" i="10"/>
  <c r="B156" i="10"/>
  <c r="B163" i="10"/>
  <c r="B170" i="10"/>
  <c r="B180" i="10"/>
  <c r="B190" i="10"/>
  <c r="C309" i="12"/>
  <c r="C299" i="12"/>
  <c r="C308" i="12"/>
  <c r="C307" i="12"/>
  <c r="C298" i="12"/>
  <c r="C295" i="12"/>
  <c r="C119" i="10"/>
  <c r="C67" i="10"/>
  <c r="C264" i="12"/>
  <c r="C69" i="10"/>
  <c r="C88" i="10"/>
  <c r="C132" i="12"/>
  <c r="C141" i="10"/>
  <c r="C24" i="12"/>
  <c r="C76" i="10"/>
  <c r="C180" i="10"/>
  <c r="C190" i="10"/>
  <c r="C139" i="10"/>
  <c r="C132" i="10"/>
  <c r="C126" i="10"/>
  <c r="C216" i="12"/>
  <c r="C48" i="10"/>
  <c r="C155" i="10"/>
  <c r="C292" i="12"/>
  <c r="C83" i="10"/>
  <c r="C23" i="10"/>
  <c r="C294" i="12"/>
  <c r="C118" i="10"/>
  <c r="C72" i="12"/>
  <c r="C56" i="10"/>
  <c r="C18" i="10"/>
  <c r="C108" i="12"/>
  <c r="C186" i="10"/>
  <c r="C89" i="10"/>
  <c r="C240" i="12"/>
  <c r="C90" i="10"/>
  <c r="C306" i="12"/>
  <c r="C112" i="10"/>
  <c r="C38" i="10"/>
  <c r="C91" i="10"/>
  <c r="C46" i="10"/>
  <c r="C60" i="12"/>
  <c r="C74" i="10"/>
  <c r="C5" i="10"/>
  <c r="C95" i="10"/>
  <c r="C102" i="10"/>
  <c r="C293" i="12"/>
  <c r="C30" i="10"/>
  <c r="C170" i="10"/>
  <c r="C176" i="10"/>
  <c r="C75" i="10"/>
  <c r="C48" i="12"/>
  <c r="C53" i="10"/>
  <c r="C6" i="10"/>
  <c r="C120" i="12"/>
  <c r="C134" i="10"/>
  <c r="C252" i="12"/>
  <c r="C104" i="10"/>
  <c r="C17" i="10"/>
  <c r="C31" i="10"/>
  <c r="C131" i="10"/>
  <c r="C288" i="12"/>
  <c r="C127" i="10"/>
  <c r="C62" i="10"/>
  <c r="C61" i="10"/>
  <c r="C24" i="10"/>
  <c r="C161" i="10"/>
  <c r="C169" i="10"/>
  <c r="C39" i="10"/>
  <c r="C153" i="10"/>
  <c r="C98" i="10"/>
  <c r="C41" i="10"/>
  <c r="C189" i="10"/>
  <c r="C133" i="10"/>
  <c r="C184" i="10"/>
  <c r="C103" i="10"/>
  <c r="C300" i="12"/>
  <c r="C111" i="10"/>
  <c r="C168" i="12"/>
  <c r="C16" i="10"/>
  <c r="C175" i="10"/>
  <c r="C144" i="12"/>
  <c r="C77" i="10"/>
  <c r="C96" i="10"/>
  <c r="C36" i="12"/>
  <c r="C109" i="10"/>
  <c r="C60" i="10"/>
  <c r="C178" i="10"/>
  <c r="C124" i="10"/>
  <c r="C105" i="10"/>
  <c r="C117" i="10"/>
  <c r="C120" i="10"/>
  <c r="C125" i="10"/>
  <c r="C70" i="10"/>
  <c r="C25" i="10"/>
  <c r="C228" i="12"/>
  <c r="C4" i="10"/>
  <c r="C304" i="12"/>
  <c r="C179" i="10"/>
  <c r="C54" i="10"/>
  <c r="C10" i="10"/>
  <c r="C12" i="12"/>
  <c r="C97" i="10"/>
  <c r="C297" i="12"/>
  <c r="C187" i="10"/>
  <c r="C305" i="12"/>
  <c r="C68" i="10"/>
  <c r="C26" i="10"/>
  <c r="C140" i="10"/>
  <c r="C52" i="10"/>
  <c r="C180" i="12"/>
  <c r="C33" i="10"/>
  <c r="C84" i="10"/>
  <c r="C11" i="10"/>
  <c r="C154" i="10"/>
  <c r="C177" i="10"/>
  <c r="C185" i="10"/>
  <c r="C110" i="10"/>
  <c r="C156" i="12"/>
  <c r="C113" i="10"/>
  <c r="C45" i="10"/>
  <c r="C188" i="10"/>
  <c r="C84" i="12"/>
  <c r="C40" i="10"/>
  <c r="C63" i="10"/>
  <c r="C147" i="10"/>
  <c r="C167" i="10"/>
  <c r="C148" i="10"/>
  <c r="C32" i="10"/>
  <c r="C146" i="10"/>
  <c r="C55" i="10"/>
  <c r="C204" i="12"/>
  <c r="C12" i="10"/>
  <c r="C156" i="10"/>
  <c r="C47" i="10"/>
  <c r="C162" i="10"/>
  <c r="C149" i="10"/>
  <c r="C168" i="10"/>
  <c r="C82" i="10"/>
  <c r="C34" i="10"/>
  <c r="C96" i="12"/>
  <c r="C81" i="10"/>
  <c r="C192" i="12"/>
  <c r="C160" i="10"/>
  <c r="C276" i="12"/>
  <c r="C163" i="10"/>
  <c r="C174" i="10"/>
  <c r="C145" i="10"/>
  <c r="C138" i="10"/>
  <c r="C22" i="10"/>
  <c r="C310" i="12"/>
  <c r="C10" i="15" l="1"/>
  <c r="C9" i="15"/>
  <c r="C8" i="15"/>
  <c r="C7" i="15"/>
  <c r="C6" i="15"/>
  <c r="C5" i="15"/>
  <c r="C4" i="15"/>
  <c r="C3" i="15"/>
  <c r="B11" i="15"/>
  <c r="C10" i="16"/>
  <c r="C9" i="16"/>
  <c r="C8" i="16"/>
  <c r="C7" i="16"/>
  <c r="C6" i="16"/>
  <c r="C5" i="16"/>
  <c r="C4" i="16"/>
  <c r="C3" i="16"/>
  <c r="B11" i="16"/>
  <c r="D53" i="1"/>
  <c r="D83" i="1"/>
  <c r="C11" i="16"/>
  <c r="D82" i="1"/>
  <c r="D48" i="1"/>
  <c r="D87" i="1"/>
  <c r="D46" i="1"/>
  <c r="D60" i="1"/>
  <c r="D40" i="1"/>
  <c r="D88" i="1"/>
  <c r="D32" i="1"/>
  <c r="D23" i="1"/>
  <c r="D44" i="1"/>
  <c r="D92" i="1"/>
  <c r="D35" i="1"/>
  <c r="D63" i="1"/>
  <c r="D77" i="1"/>
  <c r="D81" i="1"/>
  <c r="D61" i="1"/>
  <c r="D65" i="1"/>
  <c r="D29" i="1"/>
  <c r="D86" i="1"/>
  <c r="D37" i="1"/>
  <c r="D67" i="1"/>
  <c r="D16" i="1"/>
  <c r="D66" i="1"/>
  <c r="D30" i="1"/>
  <c r="D72" i="1"/>
  <c r="D18" i="1"/>
  <c r="D43" i="1"/>
  <c r="D38" i="1"/>
  <c r="D31" i="1"/>
  <c r="D74" i="1"/>
  <c r="D78" i="1"/>
  <c r="C11" i="15"/>
  <c r="D76" i="1"/>
  <c r="D70" i="1"/>
  <c r="D21" i="1"/>
  <c r="D51" i="1"/>
  <c r="D47" i="1"/>
  <c r="D50" i="1"/>
  <c r="D79" i="1"/>
  <c r="D64" i="1"/>
  <c r="D93" i="1"/>
  <c r="D28" i="1"/>
  <c r="D91" i="1"/>
  <c r="D39" i="1"/>
  <c r="D84" i="1"/>
  <c r="D15" i="1"/>
  <c r="D26" i="1"/>
  <c r="D58" i="1"/>
  <c r="D59" i="1"/>
  <c r="D36" i="1"/>
  <c r="D89" i="1"/>
  <c r="D33" i="1"/>
  <c r="D62" i="1"/>
  <c r="D54" i="1"/>
  <c r="D75" i="1"/>
  <c r="D68" i="1"/>
  <c r="D19" i="1"/>
  <c r="D56" i="1"/>
  <c r="D24" i="1"/>
  <c r="D73" i="1"/>
  <c r="D55" i="1"/>
  <c r="D22" i="1"/>
  <c r="D52" i="1"/>
  <c r="D34" i="1"/>
  <c r="D25" i="1"/>
  <c r="D49" i="1"/>
  <c r="D90" i="1"/>
  <c r="D94" i="1"/>
  <c r="D45" i="1"/>
  <c r="D27" i="1"/>
  <c r="D17" i="1"/>
  <c r="D69" i="1"/>
  <c r="D41" i="1"/>
  <c r="D85" i="1"/>
  <c r="D71" i="1"/>
  <c r="D42" i="1"/>
  <c r="D20" i="1"/>
  <c r="D80" i="1"/>
  <c r="D57"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<sst xmlns="http://schemas.openxmlformats.org/spreadsheetml/2006/main" count="1029" uniqueCount="129">
  <si>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</si>
  <si>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</si>
  <si>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</si>
  <si>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</si>
  <si>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</si>
  <si>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</si>
  <si>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</si>
  <si>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</si>
  <si>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</si>
  <si>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</si>
  <si>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</si>
  <si>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</si>
  <si>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</si>
  <si>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</si>
  <si>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</si>
  <si>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</si>
  <si>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</si>
  <si>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</si>
  <si>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</si>
  <si>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</si>
  <si>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</si>
  <si>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</si>
  <si>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</si>
  <si>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</si>
  <si>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</si>
  <si>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</si>
  <si>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</si>
  <si>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</si>
  <si>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</si>
  <si>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</si>
  <si>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</si>
  <si>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</si>
  <si>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</si>
  <si>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</si>
  <si>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</si>
  <si>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</si>
  <si>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</si>
  <si>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</si>
  <si>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</si>
  <si>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</si>
  <si>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</si>
  <si>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</si>
  <si>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mercredi, 5 mai 2021</t>
  </si>
  <si>
    <t>Séquence 4</t>
  </si>
  <si>
    <t>Après-midi</t>
  </si>
  <si>
    <t>Matin</t>
  </si>
  <si>
    <t>Séquence 32</t>
  </si>
  <si>
    <t>Séquence 31</t>
  </si>
  <si>
    <t>Séquence 30</t>
  </si>
  <si>
    <t>Séquence 29</t>
  </si>
  <si>
    <t>Séquence 28</t>
  </si>
  <si>
    <t>Séquence 26</t>
  </si>
  <si>
    <t>Séquence 25</t>
  </si>
  <si>
    <t>Séquence 24</t>
  </si>
  <si>
    <t>Séquence 23</t>
  </si>
  <si>
    <t>Séquence 22</t>
  </si>
  <si>
    <t>Séquence 21</t>
  </si>
  <si>
    <t>Séquence 20</t>
  </si>
  <si>
    <t>Séquence 19</t>
  </si>
  <si>
    <t>Séquence 18</t>
  </si>
  <si>
    <t>Séquence 17</t>
  </si>
  <si>
    <t>Séquence 16</t>
  </si>
  <si>
    <t>Séquence 15</t>
  </si>
  <si>
    <t>Séquence 14</t>
  </si>
  <si>
    <t>Séquence 13</t>
  </si>
  <si>
    <t>Séquence 12</t>
  </si>
  <si>
    <t>Séquence 11</t>
  </si>
  <si>
    <t>Séquence 10</t>
  </si>
  <si>
    <t>Séquence 9</t>
  </si>
  <si>
    <t>Séquence 8</t>
  </si>
  <si>
    <t>Séquence 7</t>
  </si>
  <si>
    <t>Séquence 6</t>
  </si>
  <si>
    <t>Séquence 5</t>
  </si>
  <si>
    <t>vendredi, 7 mai 2021</t>
  </si>
  <si>
    <t>jeudi, 6 mai 2021</t>
  </si>
  <si>
    <t>jeudi, 3 juin 2021</t>
  </si>
  <si>
    <t>mercredi, 2 juin 2021</t>
  </si>
  <si>
    <t>lundi, 31 mai 2021</t>
  </si>
  <si>
    <t>vendredi, 28 mai 2021</t>
  </si>
  <si>
    <t>jeudi, 27 mai 2021</t>
  </si>
  <si>
    <t>mercredi, 26 mai 2021</t>
  </si>
  <si>
    <t>vendredi, 21 mai 2021</t>
  </si>
  <si>
    <t>jeudi, 20 mai 2021</t>
  </si>
  <si>
    <t>mercredi, 19 mai 2021</t>
  </si>
  <si>
    <t>lundi, 17 mai 2021</t>
  </si>
  <si>
    <t>mercredi, 12 mai 2021</t>
  </si>
  <si>
    <t>lundi, 10 mai 2021</t>
  </si>
  <si>
    <t>vendredi, 4 juin 2021</t>
  </si>
  <si>
    <t>Réalisation - Interface</t>
  </si>
  <si>
    <t>Analyse - Cahier des charges</t>
  </si>
  <si>
    <t>Analyse - Chargement de fichiers</t>
  </si>
  <si>
    <t>Réunion - Lancement du projet</t>
  </si>
  <si>
    <t>Git - Mise en place d'un Git</t>
  </si>
  <si>
    <t>Réalisation - Chargement de fichiers</t>
  </si>
  <si>
    <t>Réalisation - Vérification du format automatique</t>
  </si>
  <si>
    <t>Réalisation - Résumé avec le nombre d'événements</t>
  </si>
  <si>
    <t>Réalisation - Création d'un maximum de 10 fichiers source</t>
  </si>
  <si>
    <t>Réalisation - Fusion, Popup de choix de la destination</t>
  </si>
  <si>
    <t>Réalisation - Fusion, Barre de progression.</t>
  </si>
  <si>
    <t>Test - Création de tests unitaires</t>
  </si>
  <si>
    <t>Test - Vérification des solutions</t>
  </si>
  <si>
    <t>Je vais lire le Cahier des charges pour prendre connaissance de ce dont souhaitent mes évaluants.</t>
  </si>
  <si>
    <t>Création de la planification inititale qui me permettra de guide durant le projet.</t>
  </si>
  <si>
    <t>Réunion avec l'expert pour parler du déroulement du TPI.</t>
  </si>
  <si>
    <t>Je créérais un git pour y stocker mon code ainsi que les fichiers propres au projet.</t>
  </si>
  <si>
    <t>TPI ICalMerge</t>
  </si>
  <si>
    <t>Leonardo Luna</t>
  </si>
  <si>
    <t>CIN4B</t>
  </si>
  <si>
    <t>Du 05.05.2021 au 04.06.2021</t>
  </si>
  <si>
    <t>J'ai lu le cahier des charges et fait en sorte de comprendre et d'avoir une idée de d'à quoi ressemblera le projet.</t>
  </si>
  <si>
    <t>L'Expert 1 est venu nous voir mon collègue et moi pour nous expliquer le déroulement du tpi</t>
  </si>
  <si>
    <t>J'ai comemncé une planification que j'ai dû recommencer car elle contenait les jours fériés et un mardi qui ne devait pas y figurer. J'ai pu remplir ma planification initiale jusqu'à la 10 ième séquence.</t>
  </si>
  <si>
    <t>Réalisation - Fusion des fichiers</t>
  </si>
  <si>
    <t xml:space="preserve">J'ai mis en place un git nommé TPI_iCalMerge. Il servira à contenit tous les fichiers de mon projet ainsi que le programme </t>
  </si>
  <si>
    <t xml:space="preserve">Ajout des dernières séquences manquantes et termination de la planification. </t>
  </si>
  <si>
    <t>J'ai eu un problème avec le git que j'ai créé pour le projet. Il est survenu lorsque j'ai voulu push la planification et l'application ICalMerge. Lorsque je voulais push, une erreur s'affichait en me disant que je n'avais pas les permissions requises Erreur 403. Après plusieurs recherches sur la chose, il semblerait que lors du clônage il aurait fallu entrer l emot de passe ainsi que mon nom d'utilisateur. Cela m'a semblé bizarre vu qu'à aucun moment cela ne m'a été demandé et que j'aie quand bien même pu clôner le git. Après un moment je me suis rendu compte qe l'application git Desktop me faciliterait la vie. J'ai recréé un GIT depuis cette application. Cela s'est fait très rapidement et tout était fonctionnel. J'ai bien pu envoyer les nouveaux fichier dans ce nouveau git nommé "ICalMerge_TPI". Vous trouverez l'image de l'erreur avec le premier git.</t>
  </si>
  <si>
    <t>Image de l'erreur 403</t>
  </si>
  <si>
    <t>J'ai pu poser tous les contrôles suivant le mockup qui m'a été fourni. Pour l'instant cela me permet de visualiser à quoi devrait ressembler l'application. Cela permettra également de commencer à coder les fonctionnalités de l'application.</t>
  </si>
  <si>
    <t>Image de l'interface</t>
  </si>
  <si>
    <t>J'ai pris plusieurs captures d'écran pour le journal de travail et j'ai organisé les dossiers du git.</t>
  </si>
  <si>
    <t>Après quelque minutes de réflexion, je me suis rendu compte qu'il était meilleur de commencer par créer dynamiquement les 10 champs source. Ainsi je pourrai ajouter l'importation ensuite.</t>
  </si>
  <si>
    <t>Je me suis rendu compte qu'il serait bien d'ajouter un bouton permettant de retirer un source. Parce qu'il serait pas satisfaisant de pouvoir en ajouter jusqu'à 10 mais de pouvoir en enlever aucune si l'utilisateur en aurait besoin de moins.</t>
  </si>
  <si>
    <t xml:space="preserve">Appréciation: J'aurais voulu avoir fini ma planification pour espérer prendre de l'avance. Il faudrait que je puisse la finir demain assez tôt dans la journée. Le délais est pour demain 12:00. </t>
  </si>
  <si>
    <t>Remplissage du journal de travail.</t>
  </si>
  <si>
    <t>J'ai rempli mon journal de travail à mesure que j'effectuais le travail.</t>
  </si>
  <si>
    <t>J'ai créé un objet nommé "source" il contient tous les composants visuels nécessaires à l'importation d'une source. Par exemple : Son label "Source 2", une boîte de texte pouvant contenir le chemin choisi par l'utilisateur. Il manque encore de faire l'affichage de ces contrôles. Néanmoins la classe contient un constructeur qui s'occupera de les afficher. Un objet source affichera ses propres contrôles. Le formulaire peut déjà limiter la création d'objets source par 10. Il se base sur une liste contenant ces objet. Lorsqu'elle atteint 10, un message s'affiche en avertissant l'utilisateur qu'il ne peut plus en créer.</t>
  </si>
  <si>
    <t>89h50min</t>
  </si>
  <si>
    <t>6h20min</t>
  </si>
  <si>
    <t>- 83h30min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</si>
</sst>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bottom style="dashed">
        <color indexed="64"/>
      </bottom>
      <diagonal/>
    </border>
    <border>
      <left style="medium">
        <color indexed="64"/>
      </left>
      <right/>
      <top/>
      <bottom style="dashed">
        <color indexed="64"/>
      </bottom>
      <diagonal/>
    </border>
    <border>
      <left/>
      <right style="medium">
        <color indexed="64"/>
      </right>
      <top/>
      <bottom style="dashed">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53">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1" xfId="0" applyFill="1" applyBorder="1"/>
    <xf numFmtId="0" fontId="2" fillId="0" borderId="0" xfId="0" applyFont="1" applyFill="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0" fillId="0" borderId="1" xfId="0" applyFont="1" applyFill="1" applyBorder="1" applyAlignment="1" applyProtection="1">
      <alignment horizontal="left" vertical="top" wrapText="1"/>
      <protection locked="0"/>
    </xf>
    <xf numFmtId="0" fontId="0" fillId="0" borderId="2" xfId="1" applyFont="1" applyFill="1" applyBorder="1" applyAlignment="1" applyProtection="1">
      <alignment horizontal="center" vertical="center" wrapText="1"/>
      <protection locked="0"/>
    </xf>
    <xf numFmtId="0" fontId="0" fillId="0" borderId="2"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55" xfId="0" applyFont="1" applyFill="1" applyBorder="1"/>
    <xf numFmtId="0" fontId="2" fillId="0" borderId="84" xfId="1" applyFont="1" applyFill="1" applyBorder="1" applyAlignment="1" applyProtection="1">
      <alignment horizontal="center" vertical="center" wrapText="1"/>
      <protection locked="0"/>
    </xf>
    <xf numFmtId="0" fontId="2" fillId="0" borderId="84" xfId="0" applyFont="1" applyFill="1" applyBorder="1" applyAlignment="1" applyProtection="1">
      <alignment horizontal="center" vertical="center" wrapText="1"/>
      <protection locked="0"/>
    </xf>
    <xf numFmtId="0" fontId="0" fillId="0" borderId="84" xfId="0" applyFont="1" applyFill="1" applyBorder="1" applyAlignment="1" applyProtection="1">
      <alignment horizontal="left" vertical="top" wrapText="1"/>
      <protection locked="0"/>
    </xf>
    <xf numFmtId="0" fontId="2" fillId="0" borderId="85" xfId="0" applyFont="1" applyFill="1" applyBorder="1" applyAlignment="1" applyProtection="1">
      <alignment horizontal="center" vertical="top" wrapText="1"/>
      <protection locked="0"/>
    </xf>
    <xf numFmtId="0" fontId="2" fillId="0" borderId="86"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0" fillId="5" borderId="52" xfId="0" applyFont="1" applyFill="1" applyBorder="1"/>
    <xf numFmtId="0" fontId="9" fillId="5" borderId="61" xfId="0" applyFont="1" applyFill="1" applyBorder="1" applyAlignment="1" applyProtection="1">
      <alignment horizontal="left" vertical="center" wrapText="1" indent="1"/>
      <protection locked="0"/>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 fillId="0" borderId="33" xfId="1" applyFill="1" applyBorder="1" applyAlignment="1" applyProtection="1">
      <alignment horizontal="center" vertical="center" wrapText="1"/>
      <protection locked="0"/>
    </xf>
    <xf numFmtId="0" fontId="1" fillId="0" borderId="47" xfId="1" applyFill="1" applyBorder="1" applyAlignment="1" applyProtection="1">
      <alignment horizontal="center" vertical="center" wrapText="1"/>
      <protection locked="0"/>
    </xf>
    <xf numFmtId="0" fontId="0" fillId="0" borderId="3" xfId="0" applyFont="1" applyFill="1" applyBorder="1" applyAlignment="1" applyProtection="1">
      <alignment horizontal="left" vertical="top" wrapText="1"/>
      <protection locked="0"/>
    </xf>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2" xfId="0" applyFont="1" applyFill="1" applyBorder="1"/>
    <xf numFmtId="0" fontId="2" fillId="18" borderId="19" xfId="0" applyFont="1" applyFill="1" applyBorder="1"/>
    <xf numFmtId="0" fontId="2" fillId="18" borderId="77" xfId="0" applyFont="1" applyFill="1" applyBorder="1"/>
    <xf numFmtId="0" fontId="2" fillId="18" borderId="54" xfId="0" applyFont="1" applyFill="1" applyBorder="1"/>
    <xf numFmtId="0" fontId="2" fillId="18" borderId="19" xfId="0" applyFont="1" applyFill="1" applyBorder="1" applyProtection="1"/>
    <xf numFmtId="0" fontId="2" fillId="18" borderId="79" xfId="0" applyFont="1" applyFill="1" applyBorder="1"/>
    <xf numFmtId="0" fontId="2" fillId="18" borderId="74" xfId="0" applyFont="1" applyFill="1" applyBorder="1"/>
    <xf numFmtId="0" fontId="2" fillId="18" borderId="56" xfId="0" applyFont="1" applyFill="1" applyBorder="1"/>
    <xf numFmtId="2" fontId="12" fillId="19" borderId="63" xfId="0" applyNumberFormat="1" applyFont="1" applyFill="1" applyBorder="1" applyAlignment="1">
      <alignment horizontal="center" vertical="center"/>
    </xf>
  </cellXfs>
  <cellStyles count="2">
    <cellStyle name="Lien hypertexte" xfId="1" builtinId="8"/>
    <cellStyle name="Normal" xfId="0" builtinId="0" customBuiltin="1"/>
  </cellStyles>
  <dxfs count="5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19"/>
              <c:pt idx="0">
                <c:v>Absences - imprévus </c:v>
              </c:pt>
              <c:pt idx="1">
                <c:v>Analyse - Planification initiale</c:v>
              </c:pt>
              <c:pt idx="2">
                <c:v>Réalisation - Interface</c:v>
              </c:pt>
              <c:pt idx="3">
                <c:v>Doc - Journal de travail</c:v>
              </c:pt>
              <c:pt idx="4">
                <c:v>Doc - Rapport</c:v>
              </c:pt>
              <c:pt idx="5">
                <c:v>Analyse - Cahier des charges</c:v>
              </c:pt>
              <c:pt idx="6">
                <c:v>Analyse - Chargement de fichiers</c:v>
              </c:pt>
              <c:pt idx="7">
                <c:v>Réunion - Lancement du projet</c:v>
              </c:pt>
              <c:pt idx="8">
                <c:v>Git - Mise en place d'un Git</c:v>
              </c:pt>
              <c:pt idx="9">
                <c:v>Réalisation - Chargement de fichiers</c:v>
              </c:pt>
              <c:pt idx="10">
                <c:v>Réalisation - Vérification du format automatique</c:v>
              </c:pt>
              <c:pt idx="11">
                <c:v>Réalisation - Résumé avec le nombre d'événements</c:v>
              </c:pt>
              <c:pt idx="12">
                <c:v>Réalisation - Création d'un maximum de 10 fichiers source</c:v>
              </c:pt>
              <c:pt idx="13">
                <c:v>Réalisation - Fusion, Popup de choix de la destination</c:v>
              </c:pt>
              <c:pt idx="14">
                <c:v>Réalisation - Fusion, Barre de progression.</c:v>
              </c:pt>
              <c:pt idx="15">
                <c:v>Test - Création de tests unitaires</c:v>
              </c:pt>
              <c:pt idx="16">
                <c:v>Test - Vérification des solutions</c:v>
              </c:pt>
              <c:pt idx="17">
                <c:v>Réalisation - Fusion des fichiers</c:v>
              </c:pt>
            </c:strLit>
          </c:cat>
          <c:val>
            <c:numLit>
              <c:formatCode>General</c:formatCode>
              <c:ptCount val="19"/>
              <c:pt idx="0">
                <c:v>0</c:v>
              </c:pt>
              <c:pt idx="1">
                <c:v>1.1699999570846558</c:v>
              </c:pt>
              <c:pt idx="2">
                <c:v>1.1699999570846558</c:v>
              </c:pt>
              <c:pt idx="3">
                <c:v>4.5</c:v>
              </c:pt>
              <c:pt idx="4">
                <c:v>13.670000076293945</c:v>
              </c:pt>
              <c:pt idx="5">
                <c:v>0.5</c:v>
              </c:pt>
              <c:pt idx="6">
                <c:v>0</c:v>
              </c:pt>
              <c:pt idx="7">
                <c:v>1</c:v>
              </c:pt>
              <c:pt idx="8">
                <c:v>0.82999998331069946</c:v>
              </c:pt>
              <c:pt idx="9">
                <c:v>8.1700000762939453</c:v>
              </c:pt>
              <c:pt idx="10">
                <c:v>4.1700000762939453</c:v>
              </c:pt>
              <c:pt idx="11">
                <c:v>8</c:v>
              </c:pt>
              <c:pt idx="12">
                <c:v>8.1700000762939453</c:v>
              </c:pt>
              <c:pt idx="13">
                <c:v>7.6700000762939453</c:v>
              </c:pt>
              <c:pt idx="14">
                <c:v>9.6700000762939453</c:v>
              </c:pt>
              <c:pt idx="15">
                <c:v>4.5</c:v>
              </c:pt>
              <c:pt idx="16">
                <c:v>0.82999998331069946</c:v>
              </c:pt>
              <c:pt idx="17">
                <c:v>15.829999923706055</c:v>
              </c:pt>
              <c:pt idx="18">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9"/>
              <c:pt idx="0">
                <c:v>0</c:v>
              </c:pt>
              <c:pt idx="1">
                <c:v>1.1699999570846558</c:v>
              </c:pt>
              <c:pt idx="2">
                <c:v>0.75</c:v>
              </c:pt>
              <c:pt idx="3">
                <c:v>0.57999998331069946</c:v>
              </c:pt>
              <c:pt idx="4">
                <c:v>0</c:v>
              </c:pt>
              <c:pt idx="5">
                <c:v>0.82999998331069946</c:v>
              </c:pt>
              <c:pt idx="6">
                <c:v>0</c:v>
              </c:pt>
              <c:pt idx="7">
                <c:v>0.5</c:v>
              </c:pt>
              <c:pt idx="8">
                <c:v>1.5800000429153442</c:v>
              </c:pt>
              <c:pt idx="9">
                <c:v>0</c:v>
              </c:pt>
              <c:pt idx="10">
                <c:v>0</c:v>
              </c:pt>
              <c:pt idx="11">
                <c:v>0</c:v>
              </c:pt>
              <c:pt idx="12">
                <c:v>0.92000001668930054</c:v>
              </c:pt>
              <c:pt idx="13">
                <c:v>0</c:v>
              </c:pt>
              <c:pt idx="14">
                <c:v>0</c:v>
              </c:pt>
              <c:pt idx="15">
                <c:v>0</c:v>
              </c:pt>
              <c:pt idx="16">
                <c:v>0</c:v>
              </c:pt>
              <c:pt idx="17">
                <c:v>0</c:v>
              </c:pt>
              <c:pt idx="18">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552214" y="197069"/>
          <a:ext cx="1333500" cy="396015"/>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115792"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447675</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5.xml"/><Relationship Id="rId3" Type="http://schemas.openxmlformats.org/officeDocument/2006/relationships/printerSettings" Target="../printerSettings/printerSettings4.bin"/><Relationship Id="rId7" Type="http://schemas.openxmlformats.org/officeDocument/2006/relationships/image" Target="../media/image5.emf"/><Relationship Id="rId2" Type="http://schemas.openxmlformats.org/officeDocument/2006/relationships/hyperlink" Target="..\3.%20Images\1.DesignDeBase.PNG" TargetMode="External"/><Relationship Id="rId1" Type="http://schemas.openxmlformats.org/officeDocument/2006/relationships/hyperlink" Target="..\3.%20Images\2.%20Probl&#232;mePermissionGit.PNG" TargetMode="External"/><Relationship Id="rId6" Type="http://schemas.openxmlformats.org/officeDocument/2006/relationships/control" Target="../activeX/activeX4.xml"/><Relationship Id="rId5" Type="http://schemas.openxmlformats.org/officeDocument/2006/relationships/vmlDrawing" Target="../drawings/vmlDrawing3.vml"/><Relationship Id="rId4" Type="http://schemas.openxmlformats.org/officeDocument/2006/relationships/drawing" Target="../drawings/drawing4.xml"/><Relationship Id="rId9" Type="http://schemas.openxmlformats.org/officeDocument/2006/relationships/image" Target="../media/image6.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tabSelected="1"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89" t="s">
        <v>33</v>
      </c>
      <c r="C35" s="189"/>
      <c r="D35" s="189"/>
      <c r="E35" s="107" t="s">
        <v>126</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90" t="s">
        <v>34</v>
      </c>
      <c r="C37" s="190"/>
      <c r="D37" s="190"/>
      <c r="E37" s="109" t="s">
        <v>127</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30</v>
      </c>
      <c r="E39" s="252" t="s">
        <v>128</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ST99"/>
  <sheetViews>
    <sheetView showGridLines="0" topLeftCell="A9" zoomScale="70" zoomScaleNormal="70" zoomScaleSheetLayoutView="43" workbookViewId="0">
      <selection activeCell="DA30" sqref="DA30"/>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565" width="1.140625" style="3" customWidth="1"/>
    <col min="1566" max="1566" width="2.7109375" style="3" customWidth="1"/>
    <col min="1567" max="16384" width="11.42578125" style="3"/>
  </cols>
  <sheetData>
    <row r="1" spans="1:1866" ht="35.1" customHeight="1" x14ac:dyDescent="0.25">
      <c r="B1" s="95"/>
      <c r="C1" s="222" t="s">
        <v>31</v>
      </c>
      <c r="D1" s="222"/>
      <c r="E1" s="222"/>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93">
        <v>1</v>
      </c>
    </row>
    <row r="2" spans="1:186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90"/>
    </row>
    <row r="3" spans="1:1866" ht="30" customHeight="1" x14ac:dyDescent="0.25">
      <c r="B3" s="96"/>
      <c r="C3" s="7" t="s">
        <v>0</v>
      </c>
      <c r="D3" s="140"/>
      <c r="E3" s="8" t="s">
        <v>105</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90"/>
    </row>
    <row r="4" spans="1:1866" ht="30" customHeight="1" x14ac:dyDescent="0.25">
      <c r="B4" s="96"/>
      <c r="C4" s="12" t="s">
        <v>6</v>
      </c>
      <c r="D4" s="141"/>
      <c r="E4" s="13" t="s">
        <v>106</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90"/>
    </row>
    <row r="5" spans="1:1866" ht="30" customHeight="1" x14ac:dyDescent="0.25">
      <c r="B5" s="96"/>
      <c r="C5" s="12" t="s">
        <v>1</v>
      </c>
      <c r="D5" s="141"/>
      <c r="E5" s="13" t="s">
        <v>107</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90"/>
    </row>
    <row r="6" spans="1:1866" ht="30" customHeight="1" thickBot="1" x14ac:dyDescent="0.3">
      <c r="B6" s="96"/>
      <c r="C6" s="17" t="s">
        <v>2</v>
      </c>
      <c r="D6" s="142"/>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90"/>
    </row>
    <row r="7" spans="1:1866" ht="20.100000000000001" customHeight="1" thickBot="1" x14ac:dyDescent="0.3">
      <c r="B7" s="96"/>
      <c r="C7" s="223"/>
      <c r="D7" s="223"/>
      <c r="E7" s="223"/>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90"/>
    </row>
    <row r="8" spans="1:1866" ht="30" customHeight="1" x14ac:dyDescent="0.25">
      <c r="B8" s="96"/>
      <c r="C8" s="7" t="s">
        <v>3</v>
      </c>
      <c r="D8" s="140"/>
      <c r="E8" s="8" t="s">
        <v>108</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90"/>
    </row>
    <row r="9" spans="1:1866" ht="30" customHeight="1" x14ac:dyDescent="0.25">
      <c r="B9" s="96"/>
      <c r="C9" s="12" t="s">
        <v>18</v>
      </c>
      <c r="D9" s="141"/>
      <c r="E9" s="13" t="s">
        <v>22</v>
      </c>
      <c r="F9" s="14"/>
      <c r="G9" s="216" t="str">
        <f>E96</f>
        <v>89h50min</v>
      </c>
      <c r="H9" s="216"/>
      <c r="I9" s="216"/>
      <c r="J9" s="216"/>
      <c r="K9" s="216"/>
      <c r="L9" s="216"/>
      <c r="M9" s="216"/>
      <c r="N9" s="216"/>
      <c r="O9" s="216"/>
      <c r="P9" s="216"/>
      <c r="Q9" s="216"/>
      <c r="R9" s="216"/>
      <c r="S9" s="216"/>
      <c r="T9" s="216"/>
      <c r="U9" s="216"/>
      <c r="V9" s="119"/>
      <c r="W9" s="215" t="s">
        <v>23</v>
      </c>
      <c r="X9" s="215"/>
      <c r="Y9" s="215"/>
      <c r="Z9" s="215"/>
      <c r="AA9" s="215"/>
      <c r="AB9" s="215"/>
      <c r="AC9" s="215"/>
      <c r="AD9" s="215"/>
      <c r="AE9" s="215"/>
      <c r="AF9" s="215"/>
      <c r="AG9" s="215"/>
      <c r="AH9" s="216" t="str">
        <f>E98</f>
        <v>6h20min</v>
      </c>
      <c r="AI9" s="216"/>
      <c r="AJ9" s="216"/>
      <c r="AK9" s="216"/>
      <c r="AL9" s="216"/>
      <c r="AM9" s="216"/>
      <c r="AN9" s="216"/>
      <c r="AO9" s="216"/>
      <c r="AP9" s="216"/>
      <c r="AQ9" s="216"/>
      <c r="AR9" s="216"/>
      <c r="AS9" s="216"/>
      <c r="AT9" s="216"/>
      <c r="AU9" s="216"/>
      <c r="AV9" s="216"/>
      <c r="AW9" s="216"/>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90"/>
    </row>
    <row r="10" spans="1:186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17"/>
      <c r="BO10" s="217"/>
      <c r="BP10" s="217"/>
      <c r="BQ10" s="217"/>
      <c r="BR10" s="217"/>
      <c r="BS10" s="217"/>
      <c r="BT10" s="217"/>
      <c r="BU10" s="217"/>
      <c r="BV10" s="217"/>
      <c r="BW10" s="217"/>
      <c r="BX10" s="217"/>
      <c r="BY10" s="217"/>
      <c r="BZ10" s="217"/>
      <c r="CA10" s="217"/>
      <c r="CB10" s="217"/>
      <c r="CC10" s="217"/>
      <c r="CD10" s="217"/>
      <c r="CE10" s="217"/>
      <c r="CF10" s="217"/>
      <c r="CG10" s="217"/>
      <c r="CH10" s="217"/>
      <c r="CI10" s="217"/>
      <c r="CJ10" s="217"/>
      <c r="CK10" s="217"/>
      <c r="CL10" s="217"/>
      <c r="CM10" s="217"/>
      <c r="CN10" s="217"/>
      <c r="CO10" s="217"/>
      <c r="CP10" s="217"/>
      <c r="CQ10" s="92"/>
      <c r="CR10" s="191"/>
      <c r="CS10" s="191"/>
      <c r="CT10" s="191"/>
      <c r="CU10" s="191"/>
      <c r="CV10" s="191"/>
      <c r="CW10" s="191"/>
      <c r="CX10" s="191"/>
      <c r="CY10" s="191"/>
      <c r="CZ10" s="191"/>
      <c r="DA10" s="191"/>
      <c r="DB10" s="191"/>
      <c r="DC10" s="191"/>
      <c r="DD10" s="191"/>
      <c r="DE10" s="191"/>
      <c r="DF10" s="191"/>
      <c r="DG10" s="191"/>
      <c r="DH10" s="191"/>
      <c r="DI10" s="191"/>
      <c r="DJ10" s="191"/>
      <c r="DK10" s="191"/>
      <c r="DL10" s="191"/>
      <c r="DM10" s="191"/>
      <c r="DN10" s="191"/>
      <c r="DO10" s="191"/>
      <c r="DP10" s="191"/>
      <c r="DQ10" s="191"/>
      <c r="DR10" s="191"/>
      <c r="DS10" s="191"/>
      <c r="DT10" s="191"/>
      <c r="DU10" s="191"/>
      <c r="DV10" s="191"/>
      <c r="DW10" s="191"/>
      <c r="DX10" s="191"/>
      <c r="DY10" s="191"/>
      <c r="DZ10" s="191"/>
      <c r="EA10" s="191"/>
      <c r="EB10" s="191"/>
      <c r="EC10" s="191"/>
      <c r="ED10" s="191"/>
      <c r="EE10" s="191"/>
      <c r="EF10" s="191"/>
      <c r="EG10" s="191"/>
      <c r="EH10" s="191"/>
      <c r="EI10" s="191"/>
      <c r="EJ10" s="191"/>
      <c r="EK10" s="191"/>
      <c r="EL10" s="191"/>
      <c r="EM10" s="191"/>
      <c r="EN10" s="191"/>
      <c r="EO10" s="191"/>
      <c r="EP10" s="191"/>
      <c r="EQ10" s="191"/>
      <c r="ER10" s="191"/>
      <c r="ES10" s="191"/>
      <c r="ET10" s="191"/>
      <c r="EU10" s="191"/>
      <c r="EV10" s="191"/>
      <c r="EW10" s="191"/>
      <c r="EX10" s="191"/>
      <c r="EY10" s="191"/>
      <c r="EZ10" s="191"/>
      <c r="FA10" s="191"/>
      <c r="FB10" s="191"/>
      <c r="FC10" s="191"/>
      <c r="FD10" s="191"/>
      <c r="FE10" s="191"/>
      <c r="FF10" s="191"/>
      <c r="FG10" s="191"/>
      <c r="FH10" s="191"/>
      <c r="FI10" s="191"/>
      <c r="FJ10" s="191"/>
      <c r="FK10" s="191"/>
      <c r="FL10" s="191"/>
      <c r="FM10" s="191"/>
      <c r="FN10" s="191"/>
      <c r="FO10" s="191"/>
      <c r="FP10" s="191"/>
      <c r="FQ10" s="191"/>
      <c r="FR10" s="191"/>
      <c r="FS10" s="191"/>
      <c r="FT10" s="191"/>
      <c r="FU10" s="191"/>
      <c r="FV10" s="191"/>
      <c r="FW10" s="191"/>
      <c r="FX10" s="191"/>
      <c r="FY10" s="191"/>
      <c r="FZ10" s="191"/>
      <c r="GA10" s="191"/>
      <c r="GB10" s="191"/>
      <c r="GC10" s="191"/>
      <c r="GD10" s="191"/>
      <c r="GE10" s="191"/>
      <c r="GF10" s="191"/>
      <c r="GG10" s="191"/>
      <c r="GH10" s="191"/>
      <c r="GI10" s="191"/>
      <c r="GJ10" s="191"/>
      <c r="GK10" s="191"/>
      <c r="GL10" s="191"/>
      <c r="GM10" s="191"/>
      <c r="GN10" s="191"/>
      <c r="GO10" s="191"/>
      <c r="GP10" s="191"/>
      <c r="GQ10" s="191"/>
      <c r="GR10" s="191"/>
      <c r="GS10" s="191"/>
      <c r="GT10" s="191"/>
      <c r="GU10" s="191"/>
      <c r="GV10" s="191"/>
      <c r="GW10" s="191"/>
      <c r="GX10" s="191"/>
      <c r="GY10" s="191"/>
      <c r="GZ10" s="191"/>
      <c r="HA10" s="191"/>
      <c r="HB10" s="191"/>
      <c r="HC10" s="191"/>
      <c r="HD10" s="191"/>
      <c r="HE10" s="191"/>
      <c r="HF10" s="191"/>
      <c r="HG10" s="191"/>
      <c r="HH10" s="191"/>
      <c r="HI10" s="191"/>
      <c r="HJ10" s="191"/>
      <c r="HK10" s="191"/>
      <c r="HL10" s="191"/>
      <c r="HM10" s="191"/>
      <c r="HN10" s="191"/>
      <c r="HO10" s="191"/>
      <c r="HP10" s="191"/>
      <c r="HQ10" s="191"/>
      <c r="HR10" s="191"/>
      <c r="HS10" s="191"/>
      <c r="HT10" s="191"/>
      <c r="HU10" s="191"/>
      <c r="HV10" s="191"/>
      <c r="HW10" s="191"/>
      <c r="HX10" s="191"/>
      <c r="HY10" s="191"/>
      <c r="HZ10" s="191"/>
      <c r="IA10" s="191"/>
      <c r="IB10" s="191"/>
      <c r="IC10" s="191"/>
      <c r="ID10" s="191"/>
      <c r="IE10" s="191"/>
      <c r="IF10" s="191"/>
      <c r="IG10" s="191"/>
      <c r="IH10" s="191"/>
      <c r="II10" s="191"/>
      <c r="IJ10" s="191"/>
      <c r="IK10" s="191"/>
      <c r="IL10" s="191"/>
      <c r="IM10" s="191"/>
      <c r="IN10" s="191"/>
      <c r="IO10" s="191"/>
      <c r="IP10" s="191"/>
      <c r="IQ10" s="191"/>
      <c r="IR10" s="191"/>
      <c r="IS10" s="191"/>
      <c r="IT10" s="191"/>
      <c r="IU10" s="191"/>
      <c r="IV10" s="191"/>
      <c r="IW10" s="191"/>
      <c r="IX10" s="191"/>
      <c r="IY10" s="191"/>
      <c r="IZ10" s="191"/>
      <c r="JA10" s="191"/>
      <c r="JB10" s="191"/>
      <c r="JC10" s="191"/>
      <c r="JD10" s="191"/>
      <c r="JE10" s="191"/>
      <c r="JF10" s="191"/>
      <c r="JG10" s="191"/>
      <c r="JH10" s="191"/>
      <c r="JI10" s="191"/>
      <c r="JJ10" s="191"/>
      <c r="JK10" s="191"/>
      <c r="JL10" s="191"/>
      <c r="JM10" s="191"/>
      <c r="JN10" s="191"/>
      <c r="JO10" s="191"/>
      <c r="JP10" s="191"/>
      <c r="JQ10" s="191"/>
      <c r="JR10" s="191"/>
      <c r="JS10" s="191"/>
      <c r="JT10" s="191"/>
      <c r="JU10" s="191"/>
      <c r="JV10" s="191"/>
      <c r="JW10" s="191"/>
      <c r="JX10" s="191"/>
      <c r="JY10" s="191"/>
      <c r="JZ10" s="191"/>
      <c r="KA10" s="191"/>
      <c r="KB10" s="191"/>
      <c r="KC10" s="191"/>
      <c r="KD10" s="191"/>
      <c r="KE10" s="191"/>
      <c r="KF10" s="191"/>
      <c r="KG10" s="191"/>
      <c r="KH10" s="191"/>
      <c r="KI10" s="191"/>
      <c r="KJ10" s="191"/>
      <c r="KK10" s="191"/>
      <c r="KL10" s="191"/>
      <c r="KM10" s="191"/>
      <c r="KN10" s="191"/>
      <c r="KO10" s="191"/>
      <c r="KP10" s="191"/>
      <c r="KQ10" s="191"/>
      <c r="KR10" s="191"/>
      <c r="KS10" s="191"/>
      <c r="KT10" s="191"/>
      <c r="KU10" s="191"/>
      <c r="KV10" s="191"/>
      <c r="KW10" s="191"/>
      <c r="KX10" s="191"/>
      <c r="KY10" s="191"/>
      <c r="KZ10" s="191"/>
      <c r="LA10" s="191"/>
      <c r="LB10" s="191"/>
      <c r="LC10" s="191"/>
      <c r="LD10" s="191"/>
      <c r="LE10" s="191"/>
      <c r="LF10" s="191"/>
      <c r="LG10" s="191"/>
      <c r="LH10" s="191"/>
      <c r="LI10" s="191"/>
      <c r="LJ10" s="191"/>
      <c r="LK10" s="191"/>
      <c r="LL10" s="191"/>
      <c r="LM10" s="191"/>
      <c r="LN10" s="191"/>
      <c r="LO10" s="191"/>
      <c r="LP10" s="191"/>
      <c r="LQ10" s="191"/>
      <c r="LR10" s="191"/>
      <c r="LS10" s="191"/>
      <c r="LT10" s="191"/>
      <c r="LU10" s="191"/>
      <c r="LV10" s="191"/>
      <c r="LW10" s="191"/>
      <c r="LX10" s="191"/>
      <c r="LY10" s="191"/>
      <c r="LZ10" s="191"/>
      <c r="MA10" s="191"/>
      <c r="MB10" s="191"/>
      <c r="MC10" s="191"/>
      <c r="MD10" s="191"/>
      <c r="ME10" s="191"/>
      <c r="MF10" s="191"/>
      <c r="MG10" s="191"/>
      <c r="MH10" s="191"/>
      <c r="MI10" s="191"/>
      <c r="MJ10" s="191"/>
      <c r="MK10" s="191"/>
      <c r="ML10" s="191"/>
      <c r="MM10" s="191"/>
      <c r="MN10" s="191"/>
      <c r="MO10" s="191"/>
      <c r="MP10" s="191"/>
      <c r="MQ10" s="191"/>
      <c r="MR10" s="191"/>
      <c r="MS10" s="191"/>
      <c r="MT10" s="191"/>
      <c r="MU10" s="191"/>
      <c r="MV10" s="191"/>
      <c r="MW10" s="191"/>
      <c r="MX10" s="191"/>
      <c r="MY10" s="191"/>
      <c r="MZ10" s="191"/>
      <c r="NA10" s="191"/>
      <c r="NB10" s="191"/>
      <c r="NC10" s="191"/>
      <c r="ND10" s="191"/>
      <c r="NE10" s="191"/>
      <c r="NF10" s="191"/>
      <c r="NG10" s="191"/>
      <c r="NH10" s="191"/>
      <c r="NI10" s="191"/>
      <c r="NJ10" s="191"/>
      <c r="NK10" s="191"/>
      <c r="NL10" s="191"/>
      <c r="NM10" s="191"/>
      <c r="NN10" s="191"/>
      <c r="NO10" s="191"/>
      <c r="NP10" s="191"/>
      <c r="NQ10" s="191"/>
      <c r="NR10" s="191"/>
      <c r="NS10" s="191"/>
      <c r="NT10" s="191"/>
      <c r="NU10" s="191"/>
      <c r="NV10" s="191"/>
      <c r="NW10" s="191"/>
      <c r="NX10" s="191"/>
      <c r="NY10" s="191"/>
      <c r="NZ10" s="191"/>
      <c r="OA10" s="191"/>
      <c r="OB10" s="191"/>
      <c r="OC10" s="191"/>
      <c r="OD10" s="191"/>
      <c r="OE10" s="191"/>
      <c r="OF10" s="191"/>
      <c r="OG10" s="191"/>
      <c r="OH10" s="191"/>
      <c r="OI10" s="191"/>
      <c r="OJ10" s="191"/>
      <c r="OK10" s="191"/>
      <c r="OL10" s="191"/>
      <c r="OM10" s="191"/>
      <c r="ON10" s="191"/>
      <c r="OO10" s="191"/>
      <c r="OP10" s="191"/>
      <c r="OQ10" s="191"/>
      <c r="OR10" s="191"/>
      <c r="OS10" s="191"/>
      <c r="OT10" s="191"/>
      <c r="OU10" s="191"/>
      <c r="OV10" s="191"/>
      <c r="OW10" s="191"/>
      <c r="OX10" s="191"/>
      <c r="OY10" s="191"/>
      <c r="OZ10" s="191"/>
      <c r="PA10" s="191"/>
      <c r="PB10" s="191"/>
      <c r="PC10" s="191"/>
      <c r="PD10" s="191"/>
      <c r="PE10" s="191"/>
      <c r="PF10" s="191"/>
      <c r="PG10" s="191"/>
      <c r="PH10" s="191"/>
      <c r="PI10" s="191"/>
      <c r="PJ10" s="191"/>
      <c r="PK10" s="191"/>
      <c r="PL10" s="191"/>
      <c r="PM10" s="191"/>
      <c r="PN10" s="191"/>
      <c r="PO10" s="191"/>
      <c r="PP10" s="191"/>
      <c r="PQ10" s="191"/>
      <c r="PR10" s="191"/>
      <c r="PS10" s="191"/>
      <c r="PT10" s="191"/>
      <c r="PU10" s="191"/>
      <c r="PV10" s="191"/>
      <c r="PW10" s="191"/>
      <c r="PX10" s="191"/>
      <c r="PY10" s="191"/>
      <c r="PZ10" s="191"/>
      <c r="QA10" s="191"/>
      <c r="QB10" s="191"/>
      <c r="QC10" s="191"/>
      <c r="QD10" s="191"/>
      <c r="QE10" s="191"/>
      <c r="QF10" s="191"/>
      <c r="QG10" s="191"/>
      <c r="QH10" s="191"/>
      <c r="QI10" s="191"/>
      <c r="QJ10" s="191"/>
      <c r="QK10" s="191"/>
      <c r="QL10" s="191"/>
      <c r="QM10" s="191"/>
      <c r="QN10" s="191"/>
      <c r="QO10" s="191"/>
      <c r="QP10" s="191"/>
      <c r="QQ10" s="191"/>
      <c r="QR10" s="191"/>
      <c r="QS10" s="191"/>
      <c r="QT10" s="191"/>
      <c r="QU10" s="191"/>
      <c r="QV10" s="191"/>
      <c r="QW10" s="191"/>
      <c r="QX10" s="191"/>
      <c r="QY10" s="191"/>
      <c r="QZ10" s="191"/>
      <c r="RA10" s="191"/>
      <c r="RB10" s="191"/>
      <c r="RC10" s="191"/>
      <c r="RD10" s="191"/>
      <c r="RE10" s="191"/>
      <c r="RF10" s="191"/>
      <c r="RG10" s="191"/>
      <c r="RH10" s="191"/>
      <c r="RI10" s="191"/>
      <c r="RJ10" s="191"/>
      <c r="RK10" s="191"/>
      <c r="RL10" s="191"/>
      <c r="RM10" s="191"/>
      <c r="RN10" s="191"/>
      <c r="RO10" s="191"/>
      <c r="RP10" s="191"/>
      <c r="RQ10" s="191"/>
      <c r="RR10" s="191"/>
      <c r="RS10" s="191"/>
      <c r="RT10" s="191"/>
      <c r="RU10" s="191"/>
      <c r="RV10" s="191"/>
      <c r="RW10" s="191"/>
      <c r="RX10" s="191"/>
      <c r="RY10" s="191"/>
      <c r="RZ10" s="191"/>
      <c r="SA10" s="191"/>
      <c r="SB10" s="191"/>
      <c r="SC10" s="191"/>
      <c r="SD10" s="191"/>
      <c r="SE10" s="191"/>
      <c r="SF10" s="191"/>
      <c r="SG10" s="191"/>
      <c r="SH10" s="191"/>
      <c r="SI10" s="191"/>
      <c r="SJ10" s="191"/>
      <c r="SK10" s="191"/>
      <c r="SL10" s="191"/>
      <c r="SM10" s="191"/>
      <c r="SN10" s="191"/>
      <c r="SO10" s="191"/>
      <c r="SP10" s="191"/>
      <c r="SQ10" s="191"/>
      <c r="SR10" s="191"/>
      <c r="SS10" s="191"/>
      <c r="ST10" s="191"/>
      <c r="SU10" s="191"/>
      <c r="SV10" s="191"/>
      <c r="SW10" s="191"/>
      <c r="SX10" s="191"/>
      <c r="SY10" s="191"/>
      <c r="SZ10" s="191"/>
      <c r="TA10" s="191"/>
      <c r="TB10" s="191"/>
      <c r="TC10" s="191"/>
      <c r="TD10" s="191"/>
      <c r="TE10" s="191"/>
      <c r="TF10" s="191"/>
      <c r="TG10" s="191"/>
      <c r="TH10" s="191"/>
      <c r="TI10" s="191"/>
      <c r="TJ10" s="191"/>
      <c r="TK10" s="191"/>
      <c r="TL10" s="191"/>
      <c r="TM10" s="191"/>
      <c r="TN10" s="191"/>
      <c r="TO10" s="191"/>
      <c r="TP10" s="191"/>
      <c r="TQ10" s="191"/>
      <c r="TR10" s="191"/>
      <c r="TS10" s="191"/>
      <c r="TT10" s="191"/>
      <c r="TU10" s="191"/>
      <c r="TV10" s="191"/>
      <c r="TW10" s="191"/>
      <c r="TX10" s="191"/>
      <c r="TY10" s="191"/>
      <c r="TZ10" s="191"/>
      <c r="UA10" s="191"/>
      <c r="UB10" s="191"/>
      <c r="UC10" s="191"/>
      <c r="UD10" s="191"/>
      <c r="UE10" s="191"/>
      <c r="UF10" s="191"/>
      <c r="UG10" s="191"/>
      <c r="UH10" s="191"/>
      <c r="UI10" s="191"/>
      <c r="UJ10" s="191"/>
      <c r="UK10" s="191"/>
      <c r="UL10" s="191"/>
      <c r="UM10" s="191"/>
      <c r="UN10" s="191"/>
      <c r="UO10" s="191"/>
      <c r="UP10" s="191"/>
      <c r="UQ10" s="191"/>
      <c r="UR10" s="191"/>
      <c r="US10" s="191"/>
      <c r="UT10" s="191"/>
      <c r="UU10" s="191"/>
      <c r="UV10" s="191"/>
      <c r="UW10" s="191"/>
      <c r="UX10" s="191"/>
      <c r="UY10" s="191"/>
      <c r="UZ10" s="191"/>
      <c r="VA10" s="191"/>
      <c r="VB10" s="191"/>
      <c r="VC10" s="191"/>
      <c r="VD10" s="191"/>
      <c r="VE10" s="191"/>
      <c r="VF10" s="191"/>
      <c r="VG10" s="191"/>
      <c r="VH10" s="191"/>
      <c r="VI10" s="191"/>
      <c r="VJ10" s="191"/>
      <c r="VK10" s="191"/>
      <c r="VL10" s="191"/>
      <c r="VM10" s="191"/>
      <c r="VN10" s="191"/>
      <c r="VO10" s="191"/>
      <c r="VP10" s="191"/>
      <c r="VQ10" s="191"/>
      <c r="VR10" s="191"/>
      <c r="VS10" s="191"/>
      <c r="VT10" s="191"/>
      <c r="VU10" s="191"/>
      <c r="VV10" s="191"/>
      <c r="VW10" s="191"/>
      <c r="VX10" s="191"/>
      <c r="VY10" s="191"/>
      <c r="VZ10" s="191"/>
      <c r="WA10" s="191"/>
      <c r="WB10" s="191"/>
      <c r="WC10" s="191"/>
      <c r="WD10" s="191"/>
      <c r="WE10" s="191"/>
      <c r="WF10" s="191"/>
      <c r="WG10" s="191"/>
      <c r="WH10" s="191"/>
      <c r="WI10" s="191"/>
      <c r="WJ10" s="191"/>
      <c r="WK10" s="191"/>
      <c r="WL10" s="191"/>
      <c r="WM10" s="191"/>
      <c r="WN10" s="191"/>
      <c r="WO10" s="191"/>
      <c r="WP10" s="191"/>
      <c r="WQ10" s="191"/>
      <c r="WR10" s="191"/>
      <c r="WS10" s="191"/>
      <c r="WT10" s="191"/>
      <c r="WU10" s="191"/>
      <c r="WV10" s="191"/>
      <c r="WW10" s="191"/>
      <c r="WX10" s="191"/>
      <c r="WY10" s="191"/>
      <c r="WZ10" s="191"/>
      <c r="XA10" s="191"/>
      <c r="XB10" s="191"/>
      <c r="XC10" s="191"/>
      <c r="XD10" s="191"/>
      <c r="XE10" s="191"/>
      <c r="XF10" s="191"/>
      <c r="XG10" s="191"/>
      <c r="XH10" s="191"/>
      <c r="XI10" s="191"/>
      <c r="XJ10" s="191"/>
      <c r="XK10" s="191"/>
      <c r="XL10" s="191"/>
      <c r="XM10" s="191"/>
      <c r="XN10" s="191"/>
      <c r="XO10" s="191"/>
      <c r="XP10" s="191"/>
      <c r="XQ10" s="191"/>
      <c r="XR10" s="191"/>
      <c r="XS10" s="191"/>
      <c r="XT10" s="191"/>
      <c r="XU10" s="191"/>
      <c r="XV10" s="191"/>
      <c r="XW10" s="191"/>
      <c r="XX10" s="191"/>
      <c r="XY10" s="191"/>
      <c r="XZ10" s="191"/>
      <c r="YA10" s="191"/>
      <c r="YB10" s="191"/>
      <c r="YC10" s="191"/>
      <c r="YD10" s="191"/>
      <c r="YE10" s="191"/>
      <c r="YF10" s="191"/>
      <c r="YG10" s="191"/>
      <c r="YH10" s="191"/>
      <c r="YI10" s="191"/>
      <c r="YJ10" s="191"/>
      <c r="YK10" s="191"/>
      <c r="YL10" s="191"/>
      <c r="YM10" s="191"/>
      <c r="YN10" s="191"/>
      <c r="YO10" s="191"/>
      <c r="YP10" s="191"/>
      <c r="YQ10" s="191"/>
      <c r="YR10" s="191"/>
      <c r="YS10" s="191"/>
      <c r="YT10" s="191"/>
      <c r="YU10" s="191"/>
      <c r="YV10" s="191"/>
      <c r="YW10" s="191"/>
      <c r="YX10" s="191"/>
      <c r="YY10" s="191"/>
      <c r="YZ10" s="191"/>
      <c r="ZA10" s="191"/>
      <c r="ZB10" s="191"/>
      <c r="ZC10" s="191"/>
      <c r="ZD10" s="191"/>
      <c r="ZE10" s="191"/>
      <c r="ZF10" s="191"/>
      <c r="ZG10" s="191"/>
      <c r="ZH10" s="191"/>
      <c r="ZI10" s="191"/>
      <c r="ZJ10" s="191"/>
      <c r="ZK10" s="191"/>
      <c r="ZL10" s="191"/>
      <c r="ZM10" s="191"/>
      <c r="ZN10" s="191"/>
      <c r="ZO10" s="191"/>
      <c r="ZP10" s="191"/>
      <c r="ZQ10" s="191"/>
      <c r="ZR10" s="191"/>
      <c r="ZS10" s="191"/>
      <c r="ZT10" s="191"/>
      <c r="ZU10" s="191"/>
      <c r="ZV10" s="191"/>
      <c r="ZW10" s="191"/>
      <c r="ZX10" s="191"/>
      <c r="ZY10" s="191"/>
      <c r="ZZ10" s="191"/>
      <c r="AAA10" s="191"/>
      <c r="AAB10" s="191"/>
      <c r="AAC10" s="191"/>
      <c r="AAD10" s="191"/>
      <c r="AAE10" s="191"/>
      <c r="AAF10" s="191"/>
      <c r="AAG10" s="191"/>
      <c r="AAH10" s="191"/>
      <c r="AAI10" s="191"/>
      <c r="AAJ10" s="191"/>
      <c r="AAK10" s="191"/>
      <c r="AAL10" s="191"/>
      <c r="AAM10" s="191"/>
      <c r="AAN10" s="191"/>
      <c r="AAO10" s="191"/>
      <c r="AAP10" s="191"/>
      <c r="AAQ10" s="191"/>
      <c r="AAR10" s="191"/>
      <c r="AAS10" s="191"/>
      <c r="AAT10" s="191"/>
      <c r="AAU10" s="191"/>
      <c r="AAV10" s="191"/>
      <c r="AAW10" s="191"/>
      <c r="AAX10" s="191"/>
      <c r="AAY10" s="191"/>
      <c r="AAZ10" s="191"/>
      <c r="ABA10" s="191"/>
      <c r="ABB10" s="191"/>
      <c r="ABC10" s="191"/>
      <c r="ABD10" s="191"/>
      <c r="ABE10" s="191"/>
      <c r="ABF10" s="191"/>
      <c r="ABG10" s="191"/>
      <c r="ABH10" s="191"/>
      <c r="ABI10" s="191"/>
      <c r="ABJ10" s="191"/>
      <c r="ABK10" s="191"/>
      <c r="ABL10" s="191"/>
      <c r="ABM10" s="191"/>
      <c r="ABN10" s="191"/>
      <c r="ABO10" s="191"/>
      <c r="ABP10" s="191"/>
      <c r="ABQ10" s="191"/>
      <c r="ABR10" s="191"/>
      <c r="ABS10" s="191"/>
      <c r="ABT10" s="191"/>
      <c r="ABU10" s="191"/>
      <c r="ABV10" s="191"/>
      <c r="ABW10" s="191"/>
      <c r="ABX10" s="191"/>
      <c r="ABY10" s="191"/>
      <c r="ABZ10" s="191"/>
      <c r="ACA10" s="191"/>
      <c r="ACB10" s="191"/>
      <c r="ACC10" s="191"/>
      <c r="ACD10" s="191"/>
      <c r="ACE10" s="191"/>
      <c r="ACF10" s="191"/>
      <c r="ACG10" s="191"/>
      <c r="ACH10" s="191"/>
      <c r="ACI10" s="191"/>
      <c r="ACJ10" s="191"/>
      <c r="ACK10" s="191"/>
      <c r="ACL10" s="191"/>
      <c r="ACM10" s="191"/>
      <c r="ACN10" s="191"/>
      <c r="ACO10" s="191"/>
      <c r="ACP10" s="191"/>
      <c r="ACQ10" s="191"/>
      <c r="ACR10" s="191"/>
      <c r="ACS10" s="191"/>
      <c r="ACT10" s="191"/>
      <c r="ACU10" s="191"/>
      <c r="ACV10" s="191"/>
      <c r="ACW10" s="191"/>
      <c r="ACX10" s="191"/>
      <c r="ACY10" s="191"/>
      <c r="ACZ10" s="191"/>
      <c r="ADA10" s="191"/>
      <c r="ADB10" s="191"/>
      <c r="ADC10" s="191"/>
      <c r="ADD10" s="191"/>
      <c r="ADE10" s="191"/>
      <c r="ADF10" s="191"/>
      <c r="ADG10" s="191"/>
      <c r="ADH10" s="191"/>
      <c r="ADI10" s="191"/>
      <c r="ADJ10" s="191"/>
      <c r="ADK10" s="191"/>
      <c r="ADL10" s="191"/>
      <c r="ADM10" s="191"/>
      <c r="ADN10" s="191"/>
      <c r="ADO10" s="191"/>
      <c r="ADP10" s="191"/>
      <c r="ADQ10" s="191"/>
      <c r="ADR10" s="191"/>
      <c r="ADS10" s="191"/>
      <c r="ADT10" s="191"/>
      <c r="ADU10" s="191"/>
      <c r="ADV10" s="191"/>
      <c r="ADW10" s="191"/>
      <c r="ADX10" s="191"/>
      <c r="ADY10" s="191"/>
      <c r="ADZ10" s="191"/>
      <c r="AEA10" s="191"/>
      <c r="AEB10" s="191"/>
      <c r="AEC10" s="191"/>
      <c r="AED10" s="191"/>
      <c r="AEE10" s="191"/>
      <c r="AEF10" s="191"/>
      <c r="AEG10" s="191"/>
      <c r="AEH10" s="191"/>
      <c r="AEI10" s="191"/>
      <c r="AEJ10" s="191"/>
      <c r="AEK10" s="191"/>
      <c r="AEL10" s="191"/>
      <c r="AEM10" s="191"/>
      <c r="AEN10" s="191"/>
      <c r="AEO10" s="191"/>
      <c r="AEP10" s="191"/>
      <c r="AEQ10" s="191"/>
      <c r="AER10" s="191"/>
      <c r="AES10" s="191"/>
      <c r="AET10" s="191"/>
      <c r="AEU10" s="191"/>
      <c r="AEV10" s="191"/>
      <c r="AEW10" s="191"/>
      <c r="AEX10" s="191"/>
      <c r="AEY10" s="191"/>
      <c r="AEZ10" s="191"/>
      <c r="AFA10" s="191"/>
      <c r="AFB10" s="191"/>
      <c r="AFC10" s="191"/>
      <c r="AFD10" s="191"/>
      <c r="AFE10" s="191"/>
      <c r="AFF10" s="191"/>
      <c r="AFG10" s="191"/>
      <c r="AFH10" s="191"/>
      <c r="AFI10" s="191"/>
      <c r="AFJ10" s="191"/>
      <c r="AFK10" s="191"/>
      <c r="AFL10" s="191"/>
      <c r="AFM10" s="191"/>
      <c r="AFN10" s="191"/>
      <c r="AFO10" s="191"/>
      <c r="AFP10" s="191"/>
      <c r="AFQ10" s="191"/>
      <c r="AFR10" s="191"/>
      <c r="AFS10" s="191"/>
      <c r="AFT10" s="191"/>
      <c r="AFU10" s="191"/>
      <c r="AFV10" s="191"/>
      <c r="AFW10" s="191"/>
      <c r="AFX10" s="191"/>
      <c r="AFY10" s="191"/>
      <c r="AFZ10" s="191"/>
      <c r="AGA10" s="191"/>
      <c r="AGB10" s="191"/>
      <c r="AGC10" s="191"/>
      <c r="AGD10" s="191"/>
      <c r="AGE10" s="191"/>
      <c r="AGF10" s="191"/>
      <c r="AGG10" s="191"/>
      <c r="AGH10" s="191"/>
      <c r="AGI10" s="191"/>
      <c r="AGJ10" s="191"/>
      <c r="AGK10" s="191"/>
      <c r="AGL10" s="191"/>
      <c r="AGM10" s="191"/>
      <c r="AGN10" s="191"/>
      <c r="AGO10" s="191"/>
      <c r="AGP10" s="191"/>
      <c r="AGQ10" s="191"/>
      <c r="AGR10" s="191"/>
      <c r="AGS10" s="191"/>
      <c r="AGT10" s="191"/>
      <c r="AGU10" s="191"/>
      <c r="AGV10" s="191"/>
      <c r="AGW10" s="191"/>
      <c r="AGX10" s="191"/>
      <c r="AGY10" s="191"/>
      <c r="AGZ10" s="191"/>
      <c r="AHA10" s="191"/>
      <c r="AHB10" s="191"/>
      <c r="AHC10" s="191"/>
      <c r="AHD10" s="191"/>
      <c r="AHE10" s="191"/>
      <c r="AHF10" s="191"/>
      <c r="AHG10" s="191"/>
      <c r="AHH10" s="191"/>
      <c r="AHI10" s="191"/>
      <c r="AHJ10" s="191"/>
      <c r="AHK10" s="191"/>
      <c r="AHL10" s="191"/>
      <c r="AHM10" s="191"/>
      <c r="AHN10" s="191"/>
      <c r="AHO10" s="191"/>
      <c r="AHP10" s="191"/>
      <c r="AHQ10" s="191"/>
      <c r="AHR10" s="191"/>
      <c r="AHS10" s="191"/>
      <c r="AHT10" s="191"/>
      <c r="AHU10" s="191"/>
      <c r="AHV10" s="191"/>
      <c r="AHW10" s="191"/>
      <c r="AHX10" s="191"/>
      <c r="AHY10" s="191"/>
      <c r="AHZ10" s="191"/>
      <c r="AIA10" s="191"/>
      <c r="AIB10" s="191"/>
      <c r="AIC10" s="191"/>
      <c r="AID10" s="191"/>
      <c r="AIE10" s="191"/>
      <c r="AIF10" s="191"/>
      <c r="AIG10" s="191"/>
      <c r="AIH10" s="191"/>
      <c r="AII10" s="191"/>
      <c r="AIJ10" s="191"/>
      <c r="AIK10" s="191"/>
      <c r="AIL10" s="191"/>
      <c r="AIM10" s="191"/>
      <c r="AIN10" s="191"/>
      <c r="AIO10" s="191"/>
      <c r="AIP10" s="191"/>
      <c r="AIQ10" s="191"/>
      <c r="AIR10" s="191"/>
      <c r="AIS10" s="191"/>
      <c r="AIT10" s="191"/>
      <c r="AIU10" s="191"/>
      <c r="AIV10" s="191"/>
      <c r="AIW10" s="191"/>
      <c r="AIX10" s="191"/>
      <c r="AIY10" s="191"/>
      <c r="AIZ10" s="191"/>
      <c r="AJA10" s="191"/>
      <c r="AJB10" s="191"/>
      <c r="AJC10" s="191"/>
      <c r="AJD10" s="191"/>
      <c r="AJE10" s="191"/>
      <c r="AJF10" s="191"/>
      <c r="AJG10" s="191"/>
      <c r="AJH10" s="191"/>
      <c r="AJI10" s="191"/>
      <c r="AJJ10" s="191"/>
      <c r="AJK10" s="191"/>
      <c r="AJL10" s="191"/>
      <c r="AJM10" s="191"/>
      <c r="AJN10" s="191"/>
      <c r="AJO10" s="191"/>
      <c r="AJP10" s="191"/>
      <c r="AJQ10" s="191"/>
      <c r="AJR10" s="191"/>
      <c r="AJS10" s="191"/>
      <c r="AJT10" s="191"/>
      <c r="AJU10" s="191"/>
      <c r="AJV10" s="191"/>
      <c r="AJW10" s="191"/>
      <c r="AJX10" s="191"/>
      <c r="AJY10" s="191"/>
      <c r="AJZ10" s="191"/>
      <c r="AKA10" s="191"/>
      <c r="AKB10" s="191"/>
      <c r="AKC10" s="191"/>
      <c r="AKD10" s="191"/>
      <c r="AKE10" s="191"/>
      <c r="AKF10" s="191"/>
      <c r="AKG10" s="191"/>
      <c r="AKH10" s="191"/>
      <c r="AKI10" s="191"/>
      <c r="AKJ10" s="191"/>
      <c r="AKK10" s="191"/>
      <c r="AKL10" s="191"/>
      <c r="AKM10" s="191"/>
      <c r="AKN10" s="191"/>
      <c r="AKO10" s="191"/>
      <c r="AKP10" s="191"/>
      <c r="AKQ10" s="191"/>
      <c r="AKR10" s="191"/>
      <c r="AKS10" s="191"/>
      <c r="AKT10" s="191"/>
      <c r="AKU10" s="191"/>
      <c r="AKV10" s="191"/>
      <c r="AKW10" s="191"/>
      <c r="AKX10" s="191"/>
      <c r="AKY10" s="191"/>
      <c r="AKZ10" s="191"/>
      <c r="ALA10" s="191"/>
      <c r="ALB10" s="191"/>
      <c r="ALC10" s="191"/>
      <c r="ALD10" s="191"/>
      <c r="ALE10" s="191"/>
      <c r="ALF10" s="191"/>
      <c r="ALG10" s="191"/>
      <c r="ALH10" s="191"/>
      <c r="ALI10" s="191"/>
      <c r="ALJ10" s="191"/>
      <c r="ALK10" s="191"/>
      <c r="ALL10" s="191"/>
      <c r="ALM10" s="191"/>
      <c r="ALN10" s="191"/>
      <c r="ALO10" s="191"/>
      <c r="ALP10" s="191"/>
      <c r="ALQ10" s="191"/>
      <c r="ALR10" s="191"/>
      <c r="ALS10" s="191"/>
      <c r="ALT10" s="191"/>
      <c r="ALU10" s="191"/>
      <c r="ALV10" s="191"/>
      <c r="ALW10" s="191"/>
      <c r="ALX10" s="191"/>
      <c r="ALY10" s="191"/>
      <c r="ALZ10" s="191"/>
      <c r="AMA10" s="191"/>
      <c r="AMB10" s="191"/>
      <c r="AMC10" s="191"/>
      <c r="AMD10" s="191"/>
      <c r="AME10" s="191"/>
      <c r="AMF10" s="191"/>
      <c r="AMG10" s="191"/>
      <c r="AMH10" s="191"/>
      <c r="AMI10" s="191"/>
      <c r="AMJ10" s="191"/>
      <c r="AMK10" s="191"/>
      <c r="AML10" s="191"/>
      <c r="AMM10" s="191"/>
      <c r="AMN10" s="191"/>
      <c r="AMO10" s="191"/>
      <c r="AMP10" s="191"/>
      <c r="AMQ10" s="191"/>
      <c r="AMR10" s="191"/>
      <c r="AMS10" s="191"/>
      <c r="AMT10" s="191"/>
      <c r="AMU10" s="191"/>
      <c r="AMV10" s="191"/>
      <c r="AMW10" s="191"/>
      <c r="AMX10" s="191"/>
      <c r="AMY10" s="191"/>
      <c r="AMZ10" s="191"/>
      <c r="ANA10" s="191"/>
      <c r="ANB10" s="191"/>
      <c r="ANC10" s="191"/>
      <c r="AND10" s="191"/>
      <c r="ANE10" s="191"/>
      <c r="ANF10" s="191"/>
      <c r="ANG10" s="191"/>
      <c r="ANH10" s="191"/>
      <c r="ANI10" s="191"/>
      <c r="ANJ10" s="191"/>
      <c r="ANK10" s="191"/>
      <c r="ANL10" s="191"/>
      <c r="ANM10" s="191"/>
      <c r="ANN10" s="191"/>
      <c r="ANO10" s="191"/>
      <c r="ANP10" s="191"/>
      <c r="ANQ10" s="191"/>
      <c r="ANR10" s="191"/>
      <c r="ANS10" s="191"/>
      <c r="ANT10" s="191"/>
      <c r="ANU10" s="191"/>
      <c r="ANV10" s="191"/>
      <c r="ANW10" s="191"/>
      <c r="ANX10" s="191"/>
      <c r="ANY10" s="191"/>
      <c r="ANZ10" s="191"/>
      <c r="AOA10" s="191"/>
      <c r="AOB10" s="191"/>
      <c r="AOC10" s="191"/>
      <c r="AOD10" s="191"/>
      <c r="AOE10" s="191"/>
      <c r="AOF10" s="191"/>
      <c r="AOG10" s="191"/>
      <c r="AOH10" s="191"/>
      <c r="AOI10" s="191"/>
      <c r="AOJ10" s="191"/>
      <c r="AOK10" s="191"/>
      <c r="AOL10" s="191"/>
      <c r="AOM10" s="191"/>
      <c r="AON10" s="191"/>
      <c r="AOO10" s="191"/>
      <c r="AOP10" s="191"/>
      <c r="AOQ10" s="191"/>
      <c r="AOR10" s="191"/>
      <c r="AOS10" s="191"/>
      <c r="AOT10" s="191"/>
      <c r="AOU10" s="191"/>
      <c r="AOV10" s="191"/>
      <c r="AOW10" s="191"/>
      <c r="AOX10" s="191"/>
      <c r="AOY10" s="191"/>
      <c r="AOZ10" s="191"/>
      <c r="APA10" s="191"/>
      <c r="APB10" s="191"/>
      <c r="APC10" s="191"/>
      <c r="APD10" s="191"/>
      <c r="APE10" s="191"/>
      <c r="APF10" s="191"/>
      <c r="APG10" s="191"/>
      <c r="APH10" s="191"/>
      <c r="API10" s="191"/>
      <c r="APJ10" s="191"/>
      <c r="APK10" s="191"/>
      <c r="APL10" s="191"/>
      <c r="APM10" s="191"/>
      <c r="APN10" s="191"/>
      <c r="APO10" s="191"/>
      <c r="APP10" s="191"/>
      <c r="APQ10" s="191"/>
      <c r="APR10" s="191"/>
      <c r="APS10" s="191"/>
      <c r="APT10" s="191"/>
      <c r="APU10" s="191"/>
      <c r="APV10" s="191"/>
      <c r="APW10" s="191"/>
      <c r="APX10" s="191"/>
      <c r="APY10" s="191"/>
      <c r="APZ10" s="191"/>
      <c r="AQA10" s="191"/>
      <c r="AQB10" s="191"/>
      <c r="AQC10" s="191"/>
      <c r="AQD10" s="191"/>
      <c r="AQE10" s="191"/>
      <c r="AQF10" s="191"/>
      <c r="AQG10" s="191"/>
      <c r="AQH10" s="191"/>
      <c r="AQI10" s="191"/>
      <c r="AQJ10" s="191"/>
      <c r="AQK10" s="191"/>
      <c r="AQL10" s="191"/>
      <c r="AQM10" s="191"/>
      <c r="AQN10" s="191"/>
      <c r="AQO10" s="191"/>
      <c r="AQP10" s="191"/>
      <c r="AQQ10" s="191"/>
      <c r="AQR10" s="191"/>
      <c r="AQS10" s="191"/>
      <c r="AQT10" s="191"/>
      <c r="AQU10" s="191"/>
      <c r="AQV10" s="191"/>
      <c r="AQW10" s="191"/>
      <c r="AQX10" s="191"/>
      <c r="AQY10" s="191"/>
      <c r="AQZ10" s="191"/>
      <c r="ARA10" s="191"/>
      <c r="ARB10" s="191"/>
      <c r="ARC10" s="191"/>
      <c r="ARD10" s="191"/>
      <c r="ARE10" s="191"/>
      <c r="ARF10" s="191"/>
      <c r="ARG10" s="191"/>
      <c r="ARH10" s="191"/>
      <c r="ARI10" s="191"/>
      <c r="ARJ10" s="191"/>
      <c r="ARK10" s="191"/>
      <c r="ARL10" s="191"/>
      <c r="ARM10" s="191"/>
      <c r="ARN10" s="191"/>
      <c r="ARO10" s="191"/>
      <c r="ARP10" s="191"/>
      <c r="ARQ10" s="191"/>
      <c r="ARR10" s="191"/>
      <c r="ARS10" s="191"/>
      <c r="ART10" s="191"/>
      <c r="ARU10" s="191"/>
      <c r="ARV10" s="191"/>
      <c r="ARW10" s="191"/>
      <c r="ARX10" s="191"/>
      <c r="ARY10" s="191"/>
      <c r="ARZ10" s="191"/>
      <c r="ASA10" s="191"/>
      <c r="ASB10" s="191"/>
      <c r="ASC10" s="191"/>
      <c r="ASD10" s="191"/>
      <c r="ASE10" s="191"/>
      <c r="ASF10" s="191"/>
      <c r="ASG10" s="191"/>
      <c r="ASH10" s="191"/>
      <c r="ASI10" s="191"/>
      <c r="ASJ10" s="191"/>
      <c r="ASK10" s="191"/>
      <c r="ASL10" s="191"/>
      <c r="ASM10" s="191"/>
      <c r="ASN10" s="191"/>
      <c r="ASO10" s="191"/>
      <c r="ASP10" s="191"/>
      <c r="ASQ10" s="191"/>
      <c r="ASR10" s="191"/>
      <c r="ASS10" s="191"/>
      <c r="AST10" s="191"/>
      <c r="ASU10" s="191"/>
      <c r="ASV10" s="191"/>
      <c r="ASW10" s="191"/>
      <c r="ASX10" s="191"/>
      <c r="ASY10" s="191"/>
      <c r="ASZ10" s="191"/>
      <c r="ATA10" s="191"/>
      <c r="ATB10" s="191"/>
      <c r="ATC10" s="191"/>
      <c r="ATD10" s="191"/>
      <c r="ATE10" s="191"/>
      <c r="ATF10" s="191"/>
      <c r="ATG10" s="191"/>
      <c r="ATH10" s="191"/>
      <c r="ATI10" s="191"/>
      <c r="ATJ10" s="191"/>
      <c r="ATK10" s="191"/>
      <c r="ATL10" s="191"/>
      <c r="ATM10" s="191"/>
      <c r="ATN10" s="191"/>
      <c r="ATO10" s="191"/>
      <c r="ATP10" s="191"/>
      <c r="ATQ10" s="191"/>
      <c r="ATR10" s="191"/>
      <c r="ATS10" s="191"/>
      <c r="ATT10" s="191"/>
      <c r="ATU10" s="191"/>
      <c r="ATV10" s="191"/>
      <c r="ATW10" s="191"/>
      <c r="ATX10" s="191"/>
      <c r="ATY10" s="191"/>
      <c r="ATZ10" s="191"/>
      <c r="AUA10" s="191"/>
      <c r="AUB10" s="191"/>
      <c r="AUC10" s="191"/>
      <c r="AUD10" s="191"/>
      <c r="AUE10" s="191"/>
      <c r="AUF10" s="191"/>
      <c r="AUG10" s="191"/>
      <c r="AUH10" s="191"/>
      <c r="AUI10" s="191"/>
      <c r="AUJ10" s="191"/>
      <c r="AUK10" s="191"/>
      <c r="AUL10" s="191"/>
      <c r="AUM10" s="191"/>
      <c r="AUN10" s="191"/>
      <c r="AUO10" s="191"/>
      <c r="AUP10" s="191"/>
      <c r="AUQ10" s="191"/>
      <c r="AUR10" s="191"/>
      <c r="AUS10" s="191"/>
      <c r="AUT10" s="191"/>
      <c r="AUU10" s="191"/>
      <c r="AUV10" s="191"/>
      <c r="AUW10" s="191"/>
      <c r="AUX10" s="191"/>
      <c r="AUY10" s="191"/>
      <c r="AUZ10" s="191"/>
      <c r="AVA10" s="191"/>
      <c r="AVB10" s="191"/>
      <c r="AVC10" s="191"/>
      <c r="AVD10" s="191"/>
      <c r="AVE10" s="191"/>
      <c r="AVF10" s="191"/>
      <c r="AVG10" s="191"/>
      <c r="AVH10" s="191"/>
      <c r="AVI10" s="191"/>
      <c r="AVJ10" s="191"/>
      <c r="AVK10" s="191"/>
      <c r="AVL10" s="191"/>
      <c r="AVM10" s="191"/>
      <c r="AVN10" s="191"/>
      <c r="AVO10" s="191"/>
      <c r="AVP10" s="191"/>
      <c r="AVQ10" s="191"/>
      <c r="AVR10" s="191"/>
      <c r="AVS10" s="191"/>
      <c r="AVT10" s="191"/>
      <c r="AVU10" s="191"/>
      <c r="AVV10" s="191"/>
      <c r="AVW10" s="191"/>
      <c r="AVX10" s="191"/>
      <c r="AVY10" s="191"/>
      <c r="AVZ10" s="191"/>
      <c r="AWA10" s="191"/>
      <c r="AWB10" s="191"/>
      <c r="AWC10" s="191"/>
      <c r="AWD10" s="191"/>
      <c r="AWE10" s="191"/>
      <c r="AWF10" s="191"/>
      <c r="AWG10" s="191"/>
      <c r="AWH10" s="191"/>
      <c r="AWI10" s="191"/>
      <c r="AWJ10" s="191"/>
      <c r="AWK10" s="191"/>
      <c r="AWL10" s="191"/>
      <c r="AWM10" s="191"/>
      <c r="AWN10" s="191"/>
      <c r="AWO10" s="191"/>
      <c r="AWP10" s="191"/>
      <c r="AWQ10" s="191"/>
      <c r="AWR10" s="191"/>
      <c r="AWS10" s="191"/>
      <c r="AWT10" s="191"/>
      <c r="AWU10" s="191"/>
      <c r="AWV10" s="191"/>
      <c r="AWW10" s="191"/>
      <c r="AWX10" s="191"/>
      <c r="AWY10" s="191"/>
      <c r="AWZ10" s="191"/>
      <c r="AXA10" s="191"/>
      <c r="AXB10" s="191"/>
      <c r="AXC10" s="191"/>
      <c r="AXD10" s="191"/>
      <c r="AXE10" s="191"/>
      <c r="AXF10" s="191"/>
      <c r="AXG10" s="191"/>
      <c r="AXH10" s="191"/>
      <c r="AXI10" s="191"/>
      <c r="AXJ10" s="191"/>
      <c r="AXK10" s="191"/>
      <c r="AXL10" s="191"/>
      <c r="AXM10" s="191"/>
      <c r="AXN10" s="191"/>
      <c r="AXO10" s="191"/>
      <c r="AXP10" s="191"/>
      <c r="AXQ10" s="191"/>
      <c r="AXR10" s="191"/>
      <c r="AXS10" s="191"/>
      <c r="AXT10" s="191"/>
      <c r="AXU10" s="191"/>
      <c r="AXV10" s="191"/>
      <c r="AXW10" s="191"/>
      <c r="AXX10" s="191"/>
      <c r="AXY10" s="191"/>
      <c r="AXZ10" s="191"/>
      <c r="AYA10" s="191"/>
      <c r="AYB10" s="191"/>
      <c r="AYC10" s="191"/>
      <c r="AYD10" s="191"/>
      <c r="AYE10" s="191"/>
      <c r="AYF10" s="191"/>
      <c r="AYG10" s="191"/>
      <c r="AYH10" s="191"/>
      <c r="AYI10" s="191"/>
      <c r="AYJ10" s="191"/>
      <c r="AYK10" s="191"/>
      <c r="AYL10" s="191"/>
      <c r="AYM10" s="191"/>
      <c r="AYN10" s="191"/>
      <c r="AYO10" s="191"/>
      <c r="AYP10" s="191"/>
      <c r="AYQ10" s="191"/>
      <c r="AYR10" s="191"/>
      <c r="AYS10" s="191"/>
      <c r="AYT10" s="191"/>
      <c r="AYU10" s="191"/>
      <c r="AYV10" s="191"/>
      <c r="AYW10" s="191"/>
      <c r="AYX10" s="191"/>
      <c r="AYY10" s="191"/>
      <c r="AYZ10" s="191"/>
      <c r="AZA10" s="191"/>
      <c r="AZB10" s="191"/>
      <c r="AZC10" s="191"/>
      <c r="AZD10" s="191"/>
      <c r="AZE10" s="191"/>
      <c r="AZF10" s="191"/>
      <c r="AZG10" s="191"/>
      <c r="AZH10" s="191"/>
      <c r="AZI10" s="191"/>
      <c r="AZJ10" s="191"/>
      <c r="AZK10" s="191"/>
      <c r="AZL10" s="191"/>
      <c r="AZM10" s="191"/>
      <c r="AZN10" s="191"/>
      <c r="AZO10" s="191"/>
      <c r="AZP10" s="191"/>
      <c r="AZQ10" s="191"/>
      <c r="AZR10" s="191"/>
      <c r="AZS10" s="191"/>
      <c r="AZT10" s="191"/>
      <c r="AZU10" s="191"/>
      <c r="AZV10" s="191"/>
      <c r="AZW10" s="191"/>
      <c r="AZX10" s="191"/>
      <c r="AZY10" s="191"/>
      <c r="AZZ10" s="191"/>
      <c r="BAA10" s="191"/>
      <c r="BAB10" s="191"/>
      <c r="BAC10" s="191"/>
      <c r="BAD10" s="191"/>
      <c r="BAE10" s="191"/>
      <c r="BAF10" s="191"/>
      <c r="BAG10" s="191"/>
      <c r="BAH10" s="191"/>
      <c r="BAI10" s="191"/>
      <c r="BAJ10" s="191"/>
      <c r="BAK10" s="191"/>
      <c r="BAL10" s="191"/>
      <c r="BAM10" s="191"/>
      <c r="BAN10" s="191"/>
      <c r="BAO10" s="191"/>
      <c r="BAP10" s="191"/>
      <c r="BAQ10" s="191"/>
      <c r="BAR10" s="191"/>
      <c r="BAS10" s="191"/>
      <c r="BAT10" s="191"/>
      <c r="BAU10" s="191"/>
      <c r="BAV10" s="191"/>
      <c r="BAW10" s="191"/>
      <c r="BAX10" s="191"/>
      <c r="BAY10" s="191"/>
      <c r="BAZ10" s="191"/>
      <c r="BBA10" s="191"/>
      <c r="BBB10" s="191"/>
      <c r="BBC10" s="191"/>
      <c r="BBD10" s="191"/>
      <c r="BBE10" s="191"/>
      <c r="BBF10" s="191"/>
      <c r="BBG10" s="191"/>
      <c r="BBH10" s="191"/>
      <c r="BBI10" s="191"/>
      <c r="BBJ10" s="191"/>
      <c r="BBK10" s="191"/>
      <c r="BBL10" s="191"/>
      <c r="BBM10" s="191"/>
      <c r="BBN10" s="191"/>
      <c r="BBO10" s="191"/>
      <c r="BBP10" s="191"/>
      <c r="BBQ10" s="191"/>
      <c r="BBR10" s="191"/>
      <c r="BBS10" s="191"/>
      <c r="BBT10" s="191"/>
      <c r="BBU10" s="191"/>
      <c r="BBV10" s="191"/>
      <c r="BBW10" s="191"/>
      <c r="BBX10" s="191"/>
      <c r="BBY10" s="191"/>
      <c r="BBZ10" s="191"/>
      <c r="BCA10" s="191"/>
      <c r="BCB10" s="191"/>
      <c r="BCC10" s="191"/>
      <c r="BCD10" s="191"/>
      <c r="BCE10" s="191"/>
      <c r="BCF10" s="191"/>
      <c r="BCG10" s="191"/>
      <c r="BCH10" s="191"/>
      <c r="BCI10" s="191"/>
      <c r="BCJ10" s="191"/>
      <c r="BCK10" s="191"/>
      <c r="BCL10" s="191"/>
      <c r="BCM10" s="191"/>
      <c r="BCN10" s="191"/>
      <c r="BCO10" s="191"/>
      <c r="BCP10" s="191"/>
      <c r="BCQ10" s="191"/>
      <c r="BCR10" s="191"/>
      <c r="BCS10" s="191"/>
      <c r="BCT10" s="191"/>
      <c r="BCU10" s="191"/>
      <c r="BCV10" s="191"/>
      <c r="BCW10" s="191"/>
      <c r="BCX10" s="191"/>
      <c r="BCY10" s="191"/>
      <c r="BCZ10" s="191"/>
      <c r="BDA10" s="191"/>
      <c r="BDB10" s="191"/>
      <c r="BDC10" s="191"/>
      <c r="BDD10" s="191"/>
      <c r="BDE10" s="191"/>
      <c r="BDF10" s="191"/>
      <c r="BDG10" s="191"/>
      <c r="BDH10" s="191"/>
      <c r="BDI10" s="191"/>
      <c r="BDJ10" s="191"/>
      <c r="BDK10" s="191"/>
      <c r="BDL10" s="191"/>
      <c r="BDM10" s="191"/>
      <c r="BDN10" s="191"/>
      <c r="BDO10" s="191"/>
      <c r="BDP10" s="191"/>
      <c r="BDQ10" s="191"/>
      <c r="BDR10" s="191"/>
      <c r="BDS10" s="191"/>
      <c r="BDT10" s="191"/>
      <c r="BDU10" s="191"/>
      <c r="BDV10" s="191"/>
      <c r="BDW10" s="191"/>
      <c r="BDX10" s="191"/>
      <c r="BDY10" s="191"/>
      <c r="BDZ10" s="191"/>
      <c r="BEA10" s="191"/>
      <c r="BEB10" s="191"/>
      <c r="BEC10" s="191"/>
      <c r="BED10" s="191"/>
      <c r="BEE10" s="191"/>
      <c r="BEF10" s="191"/>
      <c r="BEG10" s="191"/>
      <c r="BEH10" s="191"/>
      <c r="BEI10" s="191"/>
      <c r="BEJ10" s="191"/>
      <c r="BEK10" s="191"/>
      <c r="BEL10" s="191"/>
      <c r="BEM10" s="191"/>
      <c r="BEN10" s="191"/>
      <c r="BEO10" s="191"/>
      <c r="BEP10" s="191"/>
      <c r="BEQ10" s="191"/>
      <c r="BER10" s="191"/>
      <c r="BES10" s="191"/>
      <c r="BET10" s="191"/>
      <c r="BEU10" s="191"/>
      <c r="BEV10" s="191"/>
      <c r="BEW10" s="191"/>
      <c r="BEX10" s="191"/>
      <c r="BEY10" s="191"/>
      <c r="BEZ10" s="191"/>
      <c r="BFA10" s="191"/>
      <c r="BFB10" s="191"/>
      <c r="BFC10" s="191"/>
      <c r="BFD10" s="191"/>
      <c r="BFE10" s="191"/>
      <c r="BFF10" s="191"/>
      <c r="BFG10" s="191"/>
      <c r="BFH10" s="191"/>
      <c r="BFI10" s="191"/>
      <c r="BFJ10" s="191"/>
      <c r="BFK10" s="191"/>
      <c r="BFL10" s="191"/>
      <c r="BFM10" s="191"/>
      <c r="BFN10" s="191"/>
      <c r="BFO10" s="191"/>
      <c r="BFP10" s="191"/>
      <c r="BFQ10" s="191"/>
      <c r="BFR10" s="191"/>
      <c r="BFS10" s="191"/>
      <c r="BFT10" s="191"/>
      <c r="BFU10" s="191"/>
      <c r="BFV10" s="191"/>
      <c r="BFW10" s="191"/>
      <c r="BFX10" s="191"/>
      <c r="BFY10" s="191"/>
      <c r="BFZ10" s="191"/>
      <c r="BGA10" s="191"/>
      <c r="BGB10" s="191"/>
      <c r="BGC10" s="191"/>
      <c r="BGD10" s="191"/>
      <c r="BGE10" s="191"/>
      <c r="BGF10" s="191"/>
      <c r="BGG10" s="191"/>
      <c r="BGH10" s="191"/>
      <c r="BGI10" s="191"/>
      <c r="BGJ10" s="191"/>
      <c r="BGK10" s="191"/>
      <c r="BGL10" s="191"/>
      <c r="BGM10" s="191"/>
      <c r="BGN10" s="191"/>
      <c r="BGO10" s="191"/>
      <c r="BGP10" s="191"/>
      <c r="BGQ10" s="191"/>
      <c r="BGR10" s="191"/>
      <c r="BGS10" s="191"/>
      <c r="BGT10" s="191"/>
      <c r="BGU10" s="191"/>
      <c r="BGV10" s="191"/>
      <c r="BGW10" s="191"/>
      <c r="BGX10" s="191"/>
      <c r="BGY10" s="191"/>
      <c r="BGZ10" s="191"/>
      <c r="BHA10" s="191"/>
      <c r="BHB10" s="191"/>
      <c r="BHC10" s="191"/>
      <c r="BHD10" s="191"/>
      <c r="BHE10" s="191"/>
      <c r="BHF10" s="90"/>
    </row>
    <row r="11" spans="1:1866" ht="20.100000000000001" customHeight="1" x14ac:dyDescent="0.25">
      <c r="B11" s="96"/>
      <c r="C11" s="220"/>
      <c r="D11" s="220"/>
      <c r="E11" s="220"/>
      <c r="F11" s="214" t="s">
        <v>42</v>
      </c>
      <c r="G11" s="214"/>
      <c r="H11" s="214"/>
      <c r="I11" s="214"/>
      <c r="J11" s="214"/>
      <c r="K11" s="214"/>
      <c r="L11" s="214"/>
      <c r="M11" s="214"/>
      <c r="N11" s="214"/>
      <c r="O11" s="214"/>
      <c r="P11" s="214"/>
      <c r="Q11" s="214"/>
      <c r="R11" s="214"/>
      <c r="S11" s="214"/>
      <c r="T11" s="214"/>
      <c r="U11" s="214"/>
      <c r="V11" s="214"/>
      <c r="W11" s="214"/>
      <c r="X11" s="214"/>
      <c r="Y11" s="214"/>
      <c r="Z11" s="214"/>
      <c r="AA11" s="214"/>
      <c r="AB11" s="214"/>
      <c r="AC11" s="214"/>
      <c r="AD11" s="214"/>
      <c r="AE11" s="214"/>
      <c r="AF11" s="214"/>
      <c r="AG11" s="214"/>
      <c r="AH11" s="214"/>
      <c r="AI11" s="214"/>
      <c r="AJ11" s="214"/>
      <c r="AK11" s="214"/>
      <c r="AL11" s="214"/>
      <c r="AM11" s="214"/>
      <c r="AN11" s="214"/>
      <c r="AO11" s="214"/>
      <c r="AP11" s="214"/>
      <c r="AQ11" s="214"/>
      <c r="AR11" s="214"/>
      <c r="AS11" s="214"/>
      <c r="AT11" s="214"/>
      <c r="AU11" s="214"/>
      <c r="AV11" s="214"/>
      <c r="AW11" s="214"/>
      <c r="AX11" s="214"/>
      <c r="AY11" s="214"/>
      <c r="AZ11" s="214"/>
      <c r="BA11" s="214"/>
      <c r="BB11" s="214"/>
      <c r="BC11" s="214"/>
      <c r="BD11" s="214"/>
      <c r="BE11" s="214"/>
      <c r="BF11" s="214"/>
      <c r="BG11" s="214"/>
      <c r="BH11" s="214"/>
      <c r="BI11" s="214"/>
      <c r="BJ11" s="214"/>
      <c r="BK11" s="214"/>
      <c r="BL11" s="214"/>
      <c r="BM11" s="214"/>
      <c r="BN11" s="214" t="s">
        <v>74</v>
      </c>
      <c r="BO11" s="214"/>
      <c r="BP11" s="214"/>
      <c r="BQ11" s="214"/>
      <c r="BR11" s="214"/>
      <c r="BS11" s="214"/>
      <c r="BT11" s="214"/>
      <c r="BU11" s="214"/>
      <c r="BV11" s="214"/>
      <c r="BW11" s="214"/>
      <c r="BX11" s="214"/>
      <c r="BY11" s="214"/>
      <c r="BZ11" s="214"/>
      <c r="CA11" s="214"/>
      <c r="CB11" s="214"/>
      <c r="CC11" s="214"/>
      <c r="CD11" s="214"/>
      <c r="CE11" s="214"/>
      <c r="CF11" s="214"/>
      <c r="CG11" s="214"/>
      <c r="CH11" s="214"/>
      <c r="CI11" s="214"/>
      <c r="CJ11" s="214"/>
      <c r="CK11" s="214"/>
      <c r="CL11" s="214"/>
      <c r="CM11" s="214"/>
      <c r="CN11" s="214"/>
      <c r="CO11" s="214"/>
      <c r="CP11" s="214"/>
      <c r="CQ11" s="214"/>
      <c r="CR11" s="214"/>
      <c r="CS11" s="214"/>
      <c r="CT11" s="214"/>
      <c r="CU11" s="214"/>
      <c r="CV11" s="214"/>
      <c r="CW11" s="214"/>
      <c r="CX11" s="214"/>
      <c r="CY11" s="214"/>
      <c r="CZ11" s="214"/>
      <c r="DA11" s="214"/>
      <c r="DB11" s="214"/>
      <c r="DC11" s="214"/>
      <c r="DD11" s="214"/>
      <c r="DE11" s="214"/>
      <c r="DF11" s="214"/>
      <c r="DG11" s="214"/>
      <c r="DH11" s="214"/>
      <c r="DI11" s="214"/>
      <c r="DJ11" s="214"/>
      <c r="DK11" s="214"/>
      <c r="DL11" s="214"/>
      <c r="DM11" s="214"/>
      <c r="DN11" s="214"/>
      <c r="DO11" s="214"/>
      <c r="DP11" s="214"/>
      <c r="DQ11" s="214"/>
      <c r="DR11" s="214"/>
      <c r="DS11" s="214"/>
      <c r="DT11" s="214"/>
      <c r="DU11" s="214"/>
      <c r="DV11" s="192" t="s">
        <v>74</v>
      </c>
      <c r="DW11" s="192"/>
      <c r="DX11" s="192"/>
      <c r="DY11" s="192"/>
      <c r="DZ11" s="192"/>
      <c r="EA11" s="192"/>
      <c r="EB11" s="192"/>
      <c r="EC11" s="192"/>
      <c r="ED11" s="192"/>
      <c r="EE11" s="192"/>
      <c r="EF11" s="192"/>
      <c r="EG11" s="192"/>
      <c r="EH11" s="192"/>
      <c r="EI11" s="192"/>
      <c r="EJ11" s="192"/>
      <c r="EK11" s="192"/>
      <c r="EL11" s="192"/>
      <c r="EM11" s="192"/>
      <c r="EN11" s="192"/>
      <c r="EO11" s="192"/>
      <c r="EP11" s="192"/>
      <c r="EQ11" s="192"/>
      <c r="ER11" s="192"/>
      <c r="ES11" s="192"/>
      <c r="ET11" s="192"/>
      <c r="EU11" s="192"/>
      <c r="EV11" s="192"/>
      <c r="EW11" s="192"/>
      <c r="EX11" s="192"/>
      <c r="EY11" s="192"/>
      <c r="EZ11" s="192"/>
      <c r="FA11" s="192"/>
      <c r="FB11" s="192"/>
      <c r="FC11" s="192"/>
      <c r="FD11" s="192"/>
      <c r="FE11" s="192"/>
      <c r="FF11" s="192"/>
      <c r="FG11" s="192"/>
      <c r="FH11" s="192"/>
      <c r="FI11" s="192"/>
      <c r="FJ11" s="192"/>
      <c r="FK11" s="192"/>
      <c r="FL11" s="192"/>
      <c r="FM11" s="192"/>
      <c r="FN11" s="192"/>
      <c r="FO11" s="192"/>
      <c r="FP11" s="192"/>
      <c r="FQ11" s="192"/>
      <c r="FR11" s="192"/>
      <c r="FS11" s="192"/>
      <c r="FT11" s="192"/>
      <c r="FU11" s="192"/>
      <c r="FV11" s="192"/>
      <c r="FW11" s="192"/>
      <c r="FX11" s="192"/>
      <c r="FY11" s="192"/>
      <c r="FZ11" s="192"/>
      <c r="GA11" s="192"/>
      <c r="GB11" s="192"/>
      <c r="GC11" s="192"/>
      <c r="GD11" s="192" t="s">
        <v>73</v>
      </c>
      <c r="GE11" s="192"/>
      <c r="GF11" s="192"/>
      <c r="GG11" s="192"/>
      <c r="GH11" s="192"/>
      <c r="GI11" s="192"/>
      <c r="GJ11" s="192"/>
      <c r="GK11" s="192"/>
      <c r="GL11" s="192"/>
      <c r="GM11" s="192"/>
      <c r="GN11" s="192"/>
      <c r="GO11" s="192"/>
      <c r="GP11" s="192"/>
      <c r="GQ11" s="192"/>
      <c r="GR11" s="192"/>
      <c r="GS11" s="192"/>
      <c r="GT11" s="192"/>
      <c r="GU11" s="192"/>
      <c r="GV11" s="192"/>
      <c r="GW11" s="192"/>
      <c r="GX11" s="192"/>
      <c r="GY11" s="192"/>
      <c r="GZ11" s="192"/>
      <c r="HA11" s="192"/>
      <c r="HB11" s="192"/>
      <c r="HC11" s="192"/>
      <c r="HD11" s="192"/>
      <c r="HE11" s="192"/>
      <c r="HF11" s="192"/>
      <c r="HG11" s="192"/>
      <c r="HH11" s="192"/>
      <c r="HI11" s="192"/>
      <c r="HJ11" s="192"/>
      <c r="HK11" s="192"/>
      <c r="HL11" s="192"/>
      <c r="HM11" s="192"/>
      <c r="HN11" s="192"/>
      <c r="HO11" s="192"/>
      <c r="HP11" s="192"/>
      <c r="HQ11" s="192"/>
      <c r="HR11" s="192"/>
      <c r="HS11" s="192"/>
      <c r="HT11" s="192"/>
      <c r="HU11" s="192"/>
      <c r="HV11" s="192"/>
      <c r="HW11" s="192"/>
      <c r="HX11" s="192"/>
      <c r="HY11" s="192"/>
      <c r="HZ11" s="192"/>
      <c r="IA11" s="192"/>
      <c r="IB11" s="192"/>
      <c r="IC11" s="192"/>
      <c r="ID11" s="192"/>
      <c r="IE11" s="192"/>
      <c r="IF11" s="192"/>
      <c r="IG11" s="192"/>
      <c r="IH11" s="192"/>
      <c r="II11" s="192"/>
      <c r="IJ11" s="192"/>
      <c r="IK11" s="192"/>
      <c r="IL11" s="192" t="s">
        <v>73</v>
      </c>
      <c r="IM11" s="192"/>
      <c r="IN11" s="192"/>
      <c r="IO11" s="192"/>
      <c r="IP11" s="192"/>
      <c r="IQ11" s="192"/>
      <c r="IR11" s="192"/>
      <c r="IS11" s="192"/>
      <c r="IT11" s="192"/>
      <c r="IU11" s="192"/>
      <c r="IV11" s="192"/>
      <c r="IW11" s="192"/>
      <c r="IX11" s="192"/>
      <c r="IY11" s="192"/>
      <c r="IZ11" s="192"/>
      <c r="JA11" s="192"/>
      <c r="JB11" s="192"/>
      <c r="JC11" s="192"/>
      <c r="JD11" s="192"/>
      <c r="JE11" s="192"/>
      <c r="JF11" s="192"/>
      <c r="JG11" s="192"/>
      <c r="JH11" s="192"/>
      <c r="JI11" s="192"/>
      <c r="JJ11" s="192"/>
      <c r="JK11" s="192"/>
      <c r="JL11" s="192"/>
      <c r="JM11" s="192"/>
      <c r="JN11" s="192"/>
      <c r="JO11" s="192"/>
      <c r="JP11" s="192"/>
      <c r="JQ11" s="192"/>
      <c r="JR11" s="192"/>
      <c r="JS11" s="192"/>
      <c r="JT11" s="192"/>
      <c r="JU11" s="192"/>
      <c r="JV11" s="192"/>
      <c r="JW11" s="192"/>
      <c r="JX11" s="192"/>
      <c r="JY11" s="192"/>
      <c r="JZ11" s="192"/>
      <c r="KA11" s="192"/>
      <c r="KB11" s="192"/>
      <c r="KC11" s="192"/>
      <c r="KD11" s="192"/>
      <c r="KE11" s="192"/>
      <c r="KF11" s="192"/>
      <c r="KG11" s="192"/>
      <c r="KH11" s="192"/>
      <c r="KI11" s="192"/>
      <c r="KJ11" s="192"/>
      <c r="KK11" s="192"/>
      <c r="KL11" s="192"/>
      <c r="KM11" s="192"/>
      <c r="KN11" s="192"/>
      <c r="KO11" s="192"/>
      <c r="KP11" s="192"/>
      <c r="KQ11" s="192"/>
      <c r="KR11" s="192"/>
      <c r="KS11" s="192"/>
      <c r="KT11" s="192" t="s">
        <v>86</v>
      </c>
      <c r="KU11" s="192"/>
      <c r="KV11" s="192"/>
      <c r="KW11" s="192"/>
      <c r="KX11" s="192"/>
      <c r="KY11" s="192"/>
      <c r="KZ11" s="192"/>
      <c r="LA11" s="192"/>
      <c r="LB11" s="192"/>
      <c r="LC11" s="192"/>
      <c r="LD11" s="192"/>
      <c r="LE11" s="192"/>
      <c r="LF11" s="192"/>
      <c r="LG11" s="192"/>
      <c r="LH11" s="192"/>
      <c r="LI11" s="192"/>
      <c r="LJ11" s="192"/>
      <c r="LK11" s="192"/>
      <c r="LL11" s="192"/>
      <c r="LM11" s="192"/>
      <c r="LN11" s="192"/>
      <c r="LO11" s="192"/>
      <c r="LP11" s="192"/>
      <c r="LQ11" s="192"/>
      <c r="LR11" s="192"/>
      <c r="LS11" s="192"/>
      <c r="LT11" s="192"/>
      <c r="LU11" s="192"/>
      <c r="LV11" s="192"/>
      <c r="LW11" s="192"/>
      <c r="LX11" s="192"/>
      <c r="LY11" s="192"/>
      <c r="LZ11" s="192"/>
      <c r="MA11" s="192"/>
      <c r="MB11" s="192"/>
      <c r="MC11" s="192"/>
      <c r="MD11" s="192"/>
      <c r="ME11" s="192"/>
      <c r="MF11" s="192"/>
      <c r="MG11" s="192"/>
      <c r="MH11" s="192"/>
      <c r="MI11" s="192"/>
      <c r="MJ11" s="192"/>
      <c r="MK11" s="192"/>
      <c r="ML11" s="192"/>
      <c r="MM11" s="192"/>
      <c r="MN11" s="192"/>
      <c r="MO11" s="192"/>
      <c r="MP11" s="192"/>
      <c r="MQ11" s="192"/>
      <c r="MR11" s="192"/>
      <c r="MS11" s="192"/>
      <c r="MT11" s="192"/>
      <c r="MU11" s="192"/>
      <c r="MV11" s="192"/>
      <c r="MW11" s="192"/>
      <c r="MX11" s="192"/>
      <c r="MY11" s="192"/>
      <c r="MZ11" s="192"/>
      <c r="NA11" s="192"/>
      <c r="NB11" s="192" t="s">
        <v>85</v>
      </c>
      <c r="NC11" s="192"/>
      <c r="ND11" s="192"/>
      <c r="NE11" s="192"/>
      <c r="NF11" s="192"/>
      <c r="NG11" s="192"/>
      <c r="NH11" s="192"/>
      <c r="NI11" s="192"/>
      <c r="NJ11" s="192"/>
      <c r="NK11" s="192"/>
      <c r="NL11" s="192"/>
      <c r="NM11" s="192"/>
      <c r="NN11" s="192"/>
      <c r="NO11" s="192"/>
      <c r="NP11" s="192"/>
      <c r="NQ11" s="192"/>
      <c r="NR11" s="192"/>
      <c r="NS11" s="192"/>
      <c r="NT11" s="192"/>
      <c r="NU11" s="192"/>
      <c r="NV11" s="192"/>
      <c r="NW11" s="192"/>
      <c r="NX11" s="192"/>
      <c r="NY11" s="192"/>
      <c r="NZ11" s="192"/>
      <c r="OA11" s="192"/>
      <c r="OB11" s="192"/>
      <c r="OC11" s="192"/>
      <c r="OD11" s="192"/>
      <c r="OE11" s="192"/>
      <c r="OF11" s="192"/>
      <c r="OG11" s="192"/>
      <c r="OH11" s="192"/>
      <c r="OI11" s="192"/>
      <c r="OJ11" s="192"/>
      <c r="OK11" s="192"/>
      <c r="OL11" s="192"/>
      <c r="OM11" s="192"/>
      <c r="ON11" s="192"/>
      <c r="OO11" s="192"/>
      <c r="OP11" s="192"/>
      <c r="OQ11" s="192"/>
      <c r="OR11" s="192"/>
      <c r="OS11" s="192"/>
      <c r="OT11" s="192"/>
      <c r="OU11" s="192"/>
      <c r="OV11" s="192"/>
      <c r="OW11" s="192"/>
      <c r="OX11" s="192"/>
      <c r="OY11" s="192"/>
      <c r="OZ11" s="192"/>
      <c r="PA11" s="192"/>
      <c r="PB11" s="192"/>
      <c r="PC11" s="192"/>
      <c r="PD11" s="192"/>
      <c r="PE11" s="192"/>
      <c r="PF11" s="192"/>
      <c r="PG11" s="192"/>
      <c r="PH11" s="192"/>
      <c r="PI11" s="192"/>
      <c r="PJ11" s="192" t="s">
        <v>85</v>
      </c>
      <c r="PK11" s="192"/>
      <c r="PL11" s="192"/>
      <c r="PM11" s="192"/>
      <c r="PN11" s="192"/>
      <c r="PO11" s="192"/>
      <c r="PP11" s="192"/>
      <c r="PQ11" s="192"/>
      <c r="PR11" s="192"/>
      <c r="PS11" s="192"/>
      <c r="PT11" s="192"/>
      <c r="PU11" s="192"/>
      <c r="PV11" s="192"/>
      <c r="PW11" s="192"/>
      <c r="PX11" s="192"/>
      <c r="PY11" s="192"/>
      <c r="PZ11" s="192"/>
      <c r="QA11" s="192"/>
      <c r="QB11" s="192"/>
      <c r="QC11" s="192"/>
      <c r="QD11" s="192"/>
      <c r="QE11" s="192"/>
      <c r="QF11" s="192"/>
      <c r="QG11" s="192"/>
      <c r="QH11" s="192"/>
      <c r="QI11" s="192"/>
      <c r="QJ11" s="192"/>
      <c r="QK11" s="192"/>
      <c r="QL11" s="192"/>
      <c r="QM11" s="192"/>
      <c r="QN11" s="192"/>
      <c r="QO11" s="192"/>
      <c r="QP11" s="192"/>
      <c r="QQ11" s="192"/>
      <c r="QR11" s="192"/>
      <c r="QS11" s="192"/>
      <c r="QT11" s="192"/>
      <c r="QU11" s="192"/>
      <c r="QV11" s="192"/>
      <c r="QW11" s="192"/>
      <c r="QX11" s="192"/>
      <c r="QY11" s="192"/>
      <c r="QZ11" s="192"/>
      <c r="RA11" s="192"/>
      <c r="RB11" s="192"/>
      <c r="RC11" s="192"/>
      <c r="RD11" s="192"/>
      <c r="RE11" s="192"/>
      <c r="RF11" s="192"/>
      <c r="RG11" s="192"/>
      <c r="RH11" s="192"/>
      <c r="RI11" s="192"/>
      <c r="RJ11" s="192"/>
      <c r="RK11" s="192"/>
      <c r="RL11" s="192"/>
      <c r="RM11" s="192"/>
      <c r="RN11" s="192"/>
      <c r="RO11" s="192"/>
      <c r="RP11" s="192"/>
      <c r="RQ11" s="192"/>
      <c r="RR11" s="192" t="s">
        <v>84</v>
      </c>
      <c r="RS11" s="192"/>
      <c r="RT11" s="192"/>
      <c r="RU11" s="192"/>
      <c r="RV11" s="192"/>
      <c r="RW11" s="192"/>
      <c r="RX11" s="192"/>
      <c r="RY11" s="192"/>
      <c r="RZ11" s="192"/>
      <c r="SA11" s="192"/>
      <c r="SB11" s="192"/>
      <c r="SC11" s="192"/>
      <c r="SD11" s="192"/>
      <c r="SE11" s="192"/>
      <c r="SF11" s="192"/>
      <c r="SG11" s="192"/>
      <c r="SH11" s="192"/>
      <c r="SI11" s="192"/>
      <c r="SJ11" s="192"/>
      <c r="SK11" s="192"/>
      <c r="SL11" s="192"/>
      <c r="SM11" s="192"/>
      <c r="SN11" s="192"/>
      <c r="SO11" s="192"/>
      <c r="SP11" s="192"/>
      <c r="SQ11" s="192"/>
      <c r="SR11" s="192"/>
      <c r="SS11" s="192"/>
      <c r="ST11" s="192"/>
      <c r="SU11" s="192"/>
      <c r="SV11" s="192"/>
      <c r="SW11" s="192"/>
      <c r="SX11" s="192"/>
      <c r="SY11" s="192"/>
      <c r="SZ11" s="192"/>
      <c r="TA11" s="192"/>
      <c r="TB11" s="192"/>
      <c r="TC11" s="192"/>
      <c r="TD11" s="192"/>
      <c r="TE11" s="192"/>
      <c r="TF11" s="192"/>
      <c r="TG11" s="192"/>
      <c r="TH11" s="192"/>
      <c r="TI11" s="192"/>
      <c r="TJ11" s="192"/>
      <c r="TK11" s="192"/>
      <c r="TL11" s="192"/>
      <c r="TM11" s="192"/>
      <c r="TN11" s="192"/>
      <c r="TO11" s="192"/>
      <c r="TP11" s="192"/>
      <c r="TQ11" s="192"/>
      <c r="TR11" s="192"/>
      <c r="TS11" s="192"/>
      <c r="TT11" s="192"/>
      <c r="TU11" s="192"/>
      <c r="TV11" s="192"/>
      <c r="TW11" s="192"/>
      <c r="TX11" s="192"/>
      <c r="TY11" s="192"/>
      <c r="TZ11" s="192" t="s">
        <v>83</v>
      </c>
      <c r="UA11" s="192"/>
      <c r="UB11" s="192"/>
      <c r="UC11" s="192"/>
      <c r="UD11" s="192"/>
      <c r="UE11" s="192"/>
      <c r="UF11" s="192"/>
      <c r="UG11" s="192"/>
      <c r="UH11" s="192"/>
      <c r="UI11" s="192"/>
      <c r="UJ11" s="192"/>
      <c r="UK11" s="192"/>
      <c r="UL11" s="192"/>
      <c r="UM11" s="192"/>
      <c r="UN11" s="192"/>
      <c r="UO11" s="192"/>
      <c r="UP11" s="192"/>
      <c r="UQ11" s="192"/>
      <c r="UR11" s="192"/>
      <c r="US11" s="192"/>
      <c r="UT11" s="192"/>
      <c r="UU11" s="192"/>
      <c r="UV11" s="192"/>
      <c r="UW11" s="192"/>
      <c r="UX11" s="192"/>
      <c r="UY11" s="192"/>
      <c r="UZ11" s="192"/>
      <c r="VA11" s="192"/>
      <c r="VB11" s="192"/>
      <c r="VC11" s="192"/>
      <c r="VD11" s="192"/>
      <c r="VE11" s="192"/>
      <c r="VF11" s="192"/>
      <c r="VG11" s="192"/>
      <c r="VH11" s="192"/>
      <c r="VI11" s="192"/>
      <c r="VJ11" s="192"/>
      <c r="VK11" s="192"/>
      <c r="VL11" s="192"/>
      <c r="VM11" s="192"/>
      <c r="VN11" s="192"/>
      <c r="VO11" s="192"/>
      <c r="VP11" s="192"/>
      <c r="VQ11" s="192"/>
      <c r="VR11" s="192"/>
      <c r="VS11" s="192"/>
      <c r="VT11" s="192"/>
      <c r="VU11" s="192"/>
      <c r="VV11" s="192"/>
      <c r="VW11" s="192"/>
      <c r="VX11" s="192"/>
      <c r="VY11" s="192"/>
      <c r="VZ11" s="192"/>
      <c r="WA11" s="192"/>
      <c r="WB11" s="192"/>
      <c r="WC11" s="192"/>
      <c r="WD11" s="192"/>
      <c r="WE11" s="192"/>
      <c r="WF11" s="192"/>
      <c r="WG11" s="192"/>
      <c r="WH11" s="192" t="s">
        <v>83</v>
      </c>
      <c r="WI11" s="192"/>
      <c r="WJ11" s="192"/>
      <c r="WK11" s="192"/>
      <c r="WL11" s="192"/>
      <c r="WM11" s="192"/>
      <c r="WN11" s="192"/>
      <c r="WO11" s="192"/>
      <c r="WP11" s="192"/>
      <c r="WQ11" s="192"/>
      <c r="WR11" s="192"/>
      <c r="WS11" s="192"/>
      <c r="WT11" s="192"/>
      <c r="WU11" s="192"/>
      <c r="WV11" s="192"/>
      <c r="WW11" s="192"/>
      <c r="WX11" s="192"/>
      <c r="WY11" s="192"/>
      <c r="WZ11" s="192"/>
      <c r="XA11" s="192"/>
      <c r="XB11" s="192"/>
      <c r="XC11" s="192"/>
      <c r="XD11" s="192"/>
      <c r="XE11" s="192"/>
      <c r="XF11" s="192"/>
      <c r="XG11" s="192"/>
      <c r="XH11" s="192"/>
      <c r="XI11" s="192"/>
      <c r="XJ11" s="192"/>
      <c r="XK11" s="192"/>
      <c r="XL11" s="192"/>
      <c r="XM11" s="192"/>
      <c r="XN11" s="192"/>
      <c r="XO11" s="192"/>
      <c r="XP11" s="192"/>
      <c r="XQ11" s="192"/>
      <c r="XR11" s="192"/>
      <c r="XS11" s="192"/>
      <c r="XT11" s="192"/>
      <c r="XU11" s="192"/>
      <c r="XV11" s="192"/>
      <c r="XW11" s="192"/>
      <c r="XX11" s="192"/>
      <c r="XY11" s="192"/>
      <c r="XZ11" s="192"/>
      <c r="YA11" s="192"/>
      <c r="YB11" s="192"/>
      <c r="YC11" s="192"/>
      <c r="YD11" s="192"/>
      <c r="YE11" s="192"/>
      <c r="YF11" s="192"/>
      <c r="YG11" s="192"/>
      <c r="YH11" s="192"/>
      <c r="YI11" s="192"/>
      <c r="YJ11" s="192"/>
      <c r="YK11" s="192"/>
      <c r="YL11" s="192"/>
      <c r="YM11" s="192"/>
      <c r="YN11" s="192"/>
      <c r="YO11" s="192"/>
      <c r="YP11" s="192" t="s">
        <v>82</v>
      </c>
      <c r="YQ11" s="192"/>
      <c r="YR11" s="192"/>
      <c r="YS11" s="192"/>
      <c r="YT11" s="192"/>
      <c r="YU11" s="192"/>
      <c r="YV11" s="192"/>
      <c r="YW11" s="192"/>
      <c r="YX11" s="192"/>
      <c r="YY11" s="192"/>
      <c r="YZ11" s="192"/>
      <c r="ZA11" s="192"/>
      <c r="ZB11" s="192"/>
      <c r="ZC11" s="192"/>
      <c r="ZD11" s="192"/>
      <c r="ZE11" s="192"/>
      <c r="ZF11" s="192"/>
      <c r="ZG11" s="192"/>
      <c r="ZH11" s="192"/>
      <c r="ZI11" s="192"/>
      <c r="ZJ11" s="192"/>
      <c r="ZK11" s="192"/>
      <c r="ZL11" s="192"/>
      <c r="ZM11" s="192"/>
      <c r="ZN11" s="192"/>
      <c r="ZO11" s="192"/>
      <c r="ZP11" s="192"/>
      <c r="ZQ11" s="192"/>
      <c r="ZR11" s="192"/>
      <c r="ZS11" s="192"/>
      <c r="ZT11" s="192"/>
      <c r="ZU11" s="192"/>
      <c r="ZV11" s="192"/>
      <c r="ZW11" s="192"/>
      <c r="ZX11" s="192"/>
      <c r="ZY11" s="192"/>
      <c r="ZZ11" s="192"/>
      <c r="AAA11" s="192"/>
      <c r="AAB11" s="192"/>
      <c r="AAC11" s="192"/>
      <c r="AAD11" s="192"/>
      <c r="AAE11" s="192"/>
      <c r="AAF11" s="192"/>
      <c r="AAG11" s="192"/>
      <c r="AAH11" s="192"/>
      <c r="AAI11" s="192"/>
      <c r="AAJ11" s="192"/>
      <c r="AAK11" s="192"/>
      <c r="AAL11" s="192"/>
      <c r="AAM11" s="192"/>
      <c r="AAN11" s="192"/>
      <c r="AAO11" s="192"/>
      <c r="AAP11" s="192"/>
      <c r="AAQ11" s="192"/>
      <c r="AAR11" s="192"/>
      <c r="AAS11" s="192"/>
      <c r="AAT11" s="192"/>
      <c r="AAU11" s="192"/>
      <c r="AAV11" s="192"/>
      <c r="AAW11" s="192"/>
      <c r="AAX11" s="192" t="s">
        <v>82</v>
      </c>
      <c r="AAY11" s="192"/>
      <c r="AAZ11" s="192"/>
      <c r="ABA11" s="192"/>
      <c r="ABB11" s="192"/>
      <c r="ABC11" s="192"/>
      <c r="ABD11" s="192"/>
      <c r="ABE11" s="192"/>
      <c r="ABF11" s="192"/>
      <c r="ABG11" s="192"/>
      <c r="ABH11" s="192"/>
      <c r="ABI11" s="192"/>
      <c r="ABJ11" s="192"/>
      <c r="ABK11" s="192"/>
      <c r="ABL11" s="192"/>
      <c r="ABM11" s="192"/>
      <c r="ABN11" s="192"/>
      <c r="ABO11" s="192"/>
      <c r="ABP11" s="192"/>
      <c r="ABQ11" s="192"/>
      <c r="ABR11" s="192"/>
      <c r="ABS11" s="192"/>
      <c r="ABT11" s="192"/>
      <c r="ABU11" s="192"/>
      <c r="ABV11" s="192"/>
      <c r="ABW11" s="192"/>
      <c r="ABX11" s="192"/>
      <c r="ABY11" s="192"/>
      <c r="ABZ11" s="192"/>
      <c r="ACA11" s="192"/>
      <c r="ACB11" s="192"/>
      <c r="ACC11" s="192"/>
      <c r="ACD11" s="192"/>
      <c r="ACE11" s="192"/>
      <c r="ACF11" s="192"/>
      <c r="ACG11" s="192"/>
      <c r="ACH11" s="192"/>
      <c r="ACI11" s="192"/>
      <c r="ACJ11" s="192"/>
      <c r="ACK11" s="192"/>
      <c r="ACL11" s="192"/>
      <c r="ACM11" s="192"/>
      <c r="ACN11" s="192"/>
      <c r="ACO11" s="192"/>
      <c r="ACP11" s="192"/>
      <c r="ACQ11" s="192"/>
      <c r="ACR11" s="192"/>
      <c r="ACS11" s="192"/>
      <c r="ACT11" s="192"/>
      <c r="ACU11" s="192"/>
      <c r="ACV11" s="192"/>
      <c r="ACW11" s="192"/>
      <c r="ACX11" s="192"/>
      <c r="ACY11" s="192"/>
      <c r="ACZ11" s="192"/>
      <c r="ADA11" s="192"/>
      <c r="ADB11" s="192"/>
      <c r="ADC11" s="192"/>
      <c r="ADD11" s="192"/>
      <c r="ADE11" s="192"/>
      <c r="ADF11" s="192" t="s">
        <v>81</v>
      </c>
      <c r="ADG11" s="192"/>
      <c r="ADH11" s="192"/>
      <c r="ADI11" s="192"/>
      <c r="ADJ11" s="192"/>
      <c r="ADK11" s="192"/>
      <c r="ADL11" s="192"/>
      <c r="ADM11" s="192"/>
      <c r="ADN11" s="192"/>
      <c r="ADO11" s="192"/>
      <c r="ADP11" s="192"/>
      <c r="ADQ11" s="192"/>
      <c r="ADR11" s="192"/>
      <c r="ADS11" s="192"/>
      <c r="ADT11" s="192"/>
      <c r="ADU11" s="192"/>
      <c r="ADV11" s="192"/>
      <c r="ADW11" s="192"/>
      <c r="ADX11" s="192"/>
      <c r="ADY11" s="192"/>
      <c r="ADZ11" s="192"/>
      <c r="AEA11" s="192"/>
      <c r="AEB11" s="192"/>
      <c r="AEC11" s="192"/>
      <c r="AED11" s="192"/>
      <c r="AEE11" s="192"/>
      <c r="AEF11" s="192"/>
      <c r="AEG11" s="192"/>
      <c r="AEH11" s="192"/>
      <c r="AEI11" s="192"/>
      <c r="AEJ11" s="192"/>
      <c r="AEK11" s="192"/>
      <c r="AEL11" s="192"/>
      <c r="AEM11" s="192"/>
      <c r="AEN11" s="192"/>
      <c r="AEO11" s="192"/>
      <c r="AEP11" s="192"/>
      <c r="AEQ11" s="192"/>
      <c r="AER11" s="192"/>
      <c r="AES11" s="192"/>
      <c r="AET11" s="192"/>
      <c r="AEU11" s="192"/>
      <c r="AEV11" s="192"/>
      <c r="AEW11" s="192"/>
      <c r="AEX11" s="192"/>
      <c r="AEY11" s="192"/>
      <c r="AEZ11" s="192"/>
      <c r="AFA11" s="192"/>
      <c r="AFB11" s="192"/>
      <c r="AFC11" s="192"/>
      <c r="AFD11" s="192"/>
      <c r="AFE11" s="192"/>
      <c r="AFF11" s="192"/>
      <c r="AFG11" s="192"/>
      <c r="AFH11" s="192"/>
      <c r="AFI11" s="192"/>
      <c r="AFJ11" s="192"/>
      <c r="AFK11" s="192"/>
      <c r="AFL11" s="192"/>
      <c r="AFM11" s="192"/>
      <c r="AFN11" s="192" t="s">
        <v>81</v>
      </c>
      <c r="AFO11" s="192"/>
      <c r="AFP11" s="192"/>
      <c r="AFQ11" s="192"/>
      <c r="AFR11" s="192"/>
      <c r="AFS11" s="192"/>
      <c r="AFT11" s="192"/>
      <c r="AFU11" s="192"/>
      <c r="AFV11" s="192"/>
      <c r="AFW11" s="192"/>
      <c r="AFX11" s="192"/>
      <c r="AFY11" s="192"/>
      <c r="AFZ11" s="192"/>
      <c r="AGA11" s="192"/>
      <c r="AGB11" s="192"/>
      <c r="AGC11" s="192"/>
      <c r="AGD11" s="192"/>
      <c r="AGE11" s="192"/>
      <c r="AGF11" s="192"/>
      <c r="AGG11" s="192"/>
      <c r="AGH11" s="192"/>
      <c r="AGI11" s="192"/>
      <c r="AGJ11" s="192"/>
      <c r="AGK11" s="192"/>
      <c r="AGL11" s="192"/>
      <c r="AGM11" s="192"/>
      <c r="AGN11" s="192"/>
      <c r="AGO11" s="192"/>
      <c r="AGP11" s="192"/>
      <c r="AGQ11" s="192"/>
      <c r="AGR11" s="192"/>
      <c r="AGS11" s="192"/>
      <c r="AGT11" s="192"/>
      <c r="AGU11" s="192"/>
      <c r="AGV11" s="192"/>
      <c r="AGW11" s="192"/>
      <c r="AGX11" s="192"/>
      <c r="AGY11" s="192"/>
      <c r="AGZ11" s="192"/>
      <c r="AHA11" s="192"/>
      <c r="AHB11" s="192"/>
      <c r="AHC11" s="192"/>
      <c r="AHD11" s="192"/>
      <c r="AHE11" s="192"/>
      <c r="AHF11" s="192"/>
      <c r="AHG11" s="192"/>
      <c r="AHH11" s="192"/>
      <c r="AHI11" s="192"/>
      <c r="AHJ11" s="192"/>
      <c r="AHK11" s="192"/>
      <c r="AHL11" s="192"/>
      <c r="AHM11" s="192"/>
      <c r="AHN11" s="192"/>
      <c r="AHO11" s="192"/>
      <c r="AHP11" s="192"/>
      <c r="AHQ11" s="192"/>
      <c r="AHR11" s="192"/>
      <c r="AHS11" s="192"/>
      <c r="AHT11" s="192"/>
      <c r="AHU11" s="192"/>
      <c r="AHV11" s="192" t="s">
        <v>80</v>
      </c>
      <c r="AHW11" s="192"/>
      <c r="AHX11" s="192"/>
      <c r="AHY11" s="192"/>
      <c r="AHZ11" s="192"/>
      <c r="AIA11" s="192"/>
      <c r="AIB11" s="192"/>
      <c r="AIC11" s="192"/>
      <c r="AID11" s="192"/>
      <c r="AIE11" s="192"/>
      <c r="AIF11" s="192"/>
      <c r="AIG11" s="192"/>
      <c r="AIH11" s="192"/>
      <c r="AII11" s="192"/>
      <c r="AIJ11" s="192"/>
      <c r="AIK11" s="192"/>
      <c r="AIL11" s="192"/>
      <c r="AIM11" s="192"/>
      <c r="AIN11" s="192"/>
      <c r="AIO11" s="192"/>
      <c r="AIP11" s="192"/>
      <c r="AIQ11" s="192"/>
      <c r="AIR11" s="192"/>
      <c r="AIS11" s="192"/>
      <c r="AIT11" s="192"/>
      <c r="AIU11" s="192"/>
      <c r="AIV11" s="192"/>
      <c r="AIW11" s="192"/>
      <c r="AIX11" s="192"/>
      <c r="AIY11" s="192"/>
      <c r="AIZ11" s="192"/>
      <c r="AJA11" s="192"/>
      <c r="AJB11" s="192"/>
      <c r="AJC11" s="192"/>
      <c r="AJD11" s="192"/>
      <c r="AJE11" s="192"/>
      <c r="AJF11" s="192"/>
      <c r="AJG11" s="192"/>
      <c r="AJH11" s="192"/>
      <c r="AJI11" s="192"/>
      <c r="AJJ11" s="192"/>
      <c r="AJK11" s="192"/>
      <c r="AJL11" s="192"/>
      <c r="AJM11" s="192"/>
      <c r="AJN11" s="192"/>
      <c r="AJO11" s="192"/>
      <c r="AJP11" s="192"/>
      <c r="AJQ11" s="192"/>
      <c r="AJR11" s="192"/>
      <c r="AJS11" s="192"/>
      <c r="AJT11" s="192"/>
      <c r="AJU11" s="192"/>
      <c r="AJV11" s="192"/>
      <c r="AJW11" s="192"/>
      <c r="AJX11" s="192"/>
      <c r="AJY11" s="192"/>
      <c r="AJZ11" s="192"/>
      <c r="AKA11" s="192"/>
      <c r="AKB11" s="192"/>
      <c r="AKC11" s="192"/>
      <c r="AKD11" s="192" t="s">
        <v>80</v>
      </c>
      <c r="AKE11" s="192"/>
      <c r="AKF11" s="192"/>
      <c r="AKG11" s="192"/>
      <c r="AKH11" s="192"/>
      <c r="AKI11" s="192"/>
      <c r="AKJ11" s="192"/>
      <c r="AKK11" s="192"/>
      <c r="AKL11" s="192"/>
      <c r="AKM11" s="192"/>
      <c r="AKN11" s="192"/>
      <c r="AKO11" s="192"/>
      <c r="AKP11" s="192"/>
      <c r="AKQ11" s="192"/>
      <c r="AKR11" s="192"/>
      <c r="AKS11" s="192"/>
      <c r="AKT11" s="192"/>
      <c r="AKU11" s="192"/>
      <c r="AKV11" s="192"/>
      <c r="AKW11" s="192"/>
      <c r="AKX11" s="192"/>
      <c r="AKY11" s="192"/>
      <c r="AKZ11" s="192"/>
      <c r="ALA11" s="192"/>
      <c r="ALB11" s="192"/>
      <c r="ALC11" s="192"/>
      <c r="ALD11" s="192"/>
      <c r="ALE11" s="192"/>
      <c r="ALF11" s="192"/>
      <c r="ALG11" s="192"/>
      <c r="ALH11" s="192"/>
      <c r="ALI11" s="192"/>
      <c r="ALJ11" s="192"/>
      <c r="ALK11" s="192"/>
      <c r="ALL11" s="192"/>
      <c r="ALM11" s="192"/>
      <c r="ALN11" s="192"/>
      <c r="ALO11" s="192"/>
      <c r="ALP11" s="192"/>
      <c r="ALQ11" s="192"/>
      <c r="ALR11" s="192"/>
      <c r="ALS11" s="192"/>
      <c r="ALT11" s="192"/>
      <c r="ALU11" s="192"/>
      <c r="ALV11" s="192"/>
      <c r="ALW11" s="192"/>
      <c r="ALX11" s="192"/>
      <c r="ALY11" s="192"/>
      <c r="ALZ11" s="192"/>
      <c r="AMA11" s="192"/>
      <c r="AMB11" s="192"/>
      <c r="AMC11" s="192"/>
      <c r="AMD11" s="192"/>
      <c r="AME11" s="192"/>
      <c r="AMF11" s="192"/>
      <c r="AMG11" s="192"/>
      <c r="AMH11" s="192"/>
      <c r="AMI11" s="192"/>
      <c r="AMJ11" s="192"/>
      <c r="AMK11" s="192"/>
      <c r="AML11" s="192" t="s">
        <v>79</v>
      </c>
      <c r="AMM11" s="192"/>
      <c r="AMN11" s="192"/>
      <c r="AMO11" s="192"/>
      <c r="AMP11" s="192"/>
      <c r="AMQ11" s="192"/>
      <c r="AMR11" s="192"/>
      <c r="AMS11" s="192"/>
      <c r="AMT11" s="192"/>
      <c r="AMU11" s="192"/>
      <c r="AMV11" s="192"/>
      <c r="AMW11" s="192"/>
      <c r="AMX11" s="192"/>
      <c r="AMY11" s="192"/>
      <c r="AMZ11" s="192"/>
      <c r="ANA11" s="192"/>
      <c r="ANB11" s="192"/>
      <c r="ANC11" s="192"/>
      <c r="AND11" s="192"/>
      <c r="ANE11" s="192"/>
      <c r="ANF11" s="192"/>
      <c r="ANG11" s="192"/>
      <c r="ANH11" s="192"/>
      <c r="ANI11" s="192"/>
      <c r="ANJ11" s="192"/>
      <c r="ANK11" s="192"/>
      <c r="ANL11" s="192"/>
      <c r="ANM11" s="192"/>
      <c r="ANN11" s="192"/>
      <c r="ANO11" s="192"/>
      <c r="ANP11" s="192"/>
      <c r="ANQ11" s="192"/>
      <c r="ANR11" s="192"/>
      <c r="ANS11" s="192"/>
      <c r="ANT11" s="192"/>
      <c r="ANU11" s="192"/>
      <c r="ANV11" s="192"/>
      <c r="ANW11" s="192"/>
      <c r="ANX11" s="192"/>
      <c r="ANY11" s="192"/>
      <c r="ANZ11" s="192"/>
      <c r="AOA11" s="192"/>
      <c r="AOB11" s="192"/>
      <c r="AOC11" s="192"/>
      <c r="AOD11" s="192"/>
      <c r="AOE11" s="192"/>
      <c r="AOF11" s="192"/>
      <c r="AOG11" s="192"/>
      <c r="AOH11" s="192"/>
      <c r="AOI11" s="192"/>
      <c r="AOJ11" s="192"/>
      <c r="AOK11" s="192"/>
      <c r="AOL11" s="192"/>
      <c r="AOM11" s="192"/>
      <c r="AON11" s="192"/>
      <c r="AOO11" s="192"/>
      <c r="AOP11" s="192"/>
      <c r="AOQ11" s="192"/>
      <c r="AOR11" s="192"/>
      <c r="AOS11" s="192"/>
      <c r="AOT11" s="192" t="s">
        <v>78</v>
      </c>
      <c r="AOU11" s="192"/>
      <c r="AOV11" s="192"/>
      <c r="AOW11" s="192"/>
      <c r="AOX11" s="192"/>
      <c r="AOY11" s="192"/>
      <c r="AOZ11" s="192"/>
      <c r="APA11" s="192"/>
      <c r="APB11" s="192"/>
      <c r="APC11" s="192"/>
      <c r="APD11" s="192"/>
      <c r="APE11" s="192"/>
      <c r="APF11" s="192"/>
      <c r="APG11" s="192"/>
      <c r="APH11" s="192"/>
      <c r="API11" s="192"/>
      <c r="APJ11" s="192"/>
      <c r="APK11" s="192"/>
      <c r="APL11" s="192"/>
      <c r="APM11" s="192"/>
      <c r="APN11" s="192"/>
      <c r="APO11" s="192"/>
      <c r="APP11" s="192"/>
      <c r="APQ11" s="192"/>
      <c r="APR11" s="192"/>
      <c r="APS11" s="192"/>
      <c r="APT11" s="192"/>
      <c r="APU11" s="192"/>
      <c r="APV11" s="192"/>
      <c r="APW11" s="192"/>
      <c r="APX11" s="192"/>
      <c r="APY11" s="192"/>
      <c r="APZ11" s="192"/>
      <c r="AQA11" s="192"/>
      <c r="AQB11" s="192"/>
      <c r="AQC11" s="192"/>
      <c r="AQD11" s="192"/>
      <c r="AQE11" s="192"/>
      <c r="AQF11" s="192"/>
      <c r="AQG11" s="192"/>
      <c r="AQH11" s="192"/>
      <c r="AQI11" s="192"/>
      <c r="AQJ11" s="192"/>
      <c r="AQK11" s="192"/>
      <c r="AQL11" s="192"/>
      <c r="AQM11" s="192"/>
      <c r="AQN11" s="192"/>
      <c r="AQO11" s="192"/>
      <c r="AQP11" s="192"/>
      <c r="AQQ11" s="192"/>
      <c r="AQR11" s="192"/>
      <c r="AQS11" s="192"/>
      <c r="AQT11" s="192"/>
      <c r="AQU11" s="192"/>
      <c r="AQV11" s="192"/>
      <c r="AQW11" s="192"/>
      <c r="AQX11" s="192"/>
      <c r="AQY11" s="192"/>
      <c r="AQZ11" s="192"/>
      <c r="ARA11" s="192"/>
      <c r="ARB11" s="192" t="s">
        <v>78</v>
      </c>
      <c r="ARC11" s="192"/>
      <c r="ARD11" s="192"/>
      <c r="ARE11" s="192"/>
      <c r="ARF11" s="192"/>
      <c r="ARG11" s="192"/>
      <c r="ARH11" s="192"/>
      <c r="ARI11" s="192"/>
      <c r="ARJ11" s="192"/>
      <c r="ARK11" s="192"/>
      <c r="ARL11" s="192"/>
      <c r="ARM11" s="192"/>
      <c r="ARN11" s="192"/>
      <c r="ARO11" s="192"/>
      <c r="ARP11" s="192"/>
      <c r="ARQ11" s="192"/>
      <c r="ARR11" s="192"/>
      <c r="ARS11" s="192"/>
      <c r="ART11" s="192"/>
      <c r="ARU11" s="192"/>
      <c r="ARV11" s="192"/>
      <c r="ARW11" s="192"/>
      <c r="ARX11" s="192"/>
      <c r="ARY11" s="192"/>
      <c r="ARZ11" s="192"/>
      <c r="ASA11" s="192"/>
      <c r="ASB11" s="192"/>
      <c r="ASC11" s="192"/>
      <c r="ASD11" s="192"/>
      <c r="ASE11" s="192"/>
      <c r="ASF11" s="192"/>
      <c r="ASG11" s="192"/>
      <c r="ASH11" s="192"/>
      <c r="ASI11" s="192"/>
      <c r="ASJ11" s="192"/>
      <c r="ASK11" s="192"/>
      <c r="ASL11" s="192"/>
      <c r="ASM11" s="192"/>
      <c r="ASN11" s="192"/>
      <c r="ASO11" s="192"/>
      <c r="ASP11" s="192"/>
      <c r="ASQ11" s="192"/>
      <c r="ASR11" s="192"/>
      <c r="ASS11" s="192"/>
      <c r="AST11" s="192"/>
      <c r="ASU11" s="192"/>
      <c r="ASV11" s="192"/>
      <c r="ASW11" s="192"/>
      <c r="ASX11" s="192"/>
      <c r="ASY11" s="192"/>
      <c r="ASZ11" s="192"/>
      <c r="ATA11" s="192"/>
      <c r="ATB11" s="192"/>
      <c r="ATC11" s="192"/>
      <c r="ATD11" s="192"/>
      <c r="ATE11" s="192"/>
      <c r="ATF11" s="192"/>
      <c r="ATG11" s="192"/>
      <c r="ATH11" s="192"/>
      <c r="ATI11" s="192"/>
      <c r="ATJ11" s="192" t="s">
        <v>77</v>
      </c>
      <c r="ATK11" s="192"/>
      <c r="ATL11" s="192"/>
      <c r="ATM11" s="192"/>
      <c r="ATN11" s="192"/>
      <c r="ATO11" s="192"/>
      <c r="ATP11" s="192"/>
      <c r="ATQ11" s="192"/>
      <c r="ATR11" s="192"/>
      <c r="ATS11" s="192"/>
      <c r="ATT11" s="192"/>
      <c r="ATU11" s="192"/>
      <c r="ATV11" s="192"/>
      <c r="ATW11" s="192"/>
      <c r="ATX11" s="192"/>
      <c r="ATY11" s="192"/>
      <c r="ATZ11" s="192"/>
      <c r="AUA11" s="192"/>
      <c r="AUB11" s="192"/>
      <c r="AUC11" s="192"/>
      <c r="AUD11" s="192"/>
      <c r="AUE11" s="192"/>
      <c r="AUF11" s="192"/>
      <c r="AUG11" s="192"/>
      <c r="AUH11" s="192"/>
      <c r="AUI11" s="192"/>
      <c r="AUJ11" s="192"/>
      <c r="AUK11" s="192"/>
      <c r="AUL11" s="192"/>
      <c r="AUM11" s="192"/>
      <c r="AUN11" s="192"/>
      <c r="AUO11" s="192"/>
      <c r="AUP11" s="192"/>
      <c r="AUQ11" s="192"/>
      <c r="AUR11" s="192"/>
      <c r="AUS11" s="192"/>
      <c r="AUT11" s="192"/>
      <c r="AUU11" s="192"/>
      <c r="AUV11" s="192"/>
      <c r="AUW11" s="192"/>
      <c r="AUX11" s="192"/>
      <c r="AUY11" s="192"/>
      <c r="AUZ11" s="192"/>
      <c r="AVA11" s="192"/>
      <c r="AVB11" s="192"/>
      <c r="AVC11" s="192"/>
      <c r="AVD11" s="192"/>
      <c r="AVE11" s="192"/>
      <c r="AVF11" s="192"/>
      <c r="AVG11" s="192"/>
      <c r="AVH11" s="192"/>
      <c r="AVI11" s="192"/>
      <c r="AVJ11" s="192"/>
      <c r="AVK11" s="192"/>
      <c r="AVL11" s="192"/>
      <c r="AVM11" s="192"/>
      <c r="AVN11" s="192"/>
      <c r="AVO11" s="192"/>
      <c r="AVP11" s="192"/>
      <c r="AVQ11" s="192"/>
      <c r="AVR11" s="192" t="s">
        <v>76</v>
      </c>
      <c r="AVS11" s="192"/>
      <c r="AVT11" s="192"/>
      <c r="AVU11" s="192"/>
      <c r="AVV11" s="192"/>
      <c r="AVW11" s="192"/>
      <c r="AVX11" s="192"/>
      <c r="AVY11" s="192"/>
      <c r="AVZ11" s="192"/>
      <c r="AWA11" s="192"/>
      <c r="AWB11" s="192"/>
      <c r="AWC11" s="192"/>
      <c r="AWD11" s="192"/>
      <c r="AWE11" s="192"/>
      <c r="AWF11" s="192"/>
      <c r="AWG11" s="192"/>
      <c r="AWH11" s="192"/>
      <c r="AWI11" s="192"/>
      <c r="AWJ11" s="192"/>
      <c r="AWK11" s="192"/>
      <c r="AWL11" s="192"/>
      <c r="AWM11" s="192"/>
      <c r="AWN11" s="192"/>
      <c r="AWO11" s="192"/>
      <c r="AWP11" s="192"/>
      <c r="AWQ11" s="192"/>
      <c r="AWR11" s="192"/>
      <c r="AWS11" s="192"/>
      <c r="AWT11" s="192"/>
      <c r="AWU11" s="192"/>
      <c r="AWV11" s="192"/>
      <c r="AWW11" s="192"/>
      <c r="AWX11" s="192"/>
      <c r="AWY11" s="192"/>
      <c r="AWZ11" s="192"/>
      <c r="AXA11" s="192"/>
      <c r="AXB11" s="192"/>
      <c r="AXC11" s="192"/>
      <c r="AXD11" s="192"/>
      <c r="AXE11" s="192"/>
      <c r="AXF11" s="192"/>
      <c r="AXG11" s="192"/>
      <c r="AXH11" s="192"/>
      <c r="AXI11" s="192"/>
      <c r="AXJ11" s="192"/>
      <c r="AXK11" s="192"/>
      <c r="AXL11" s="192"/>
      <c r="AXM11" s="192"/>
      <c r="AXN11" s="192"/>
      <c r="AXO11" s="192"/>
      <c r="AXP11" s="192"/>
      <c r="AXQ11" s="192"/>
      <c r="AXR11" s="192"/>
      <c r="AXS11" s="192"/>
      <c r="AXT11" s="192"/>
      <c r="AXU11" s="192"/>
      <c r="AXV11" s="192"/>
      <c r="AXW11" s="192"/>
      <c r="AXX11" s="192"/>
      <c r="AXY11" s="192"/>
      <c r="AXZ11" s="192" t="s">
        <v>76</v>
      </c>
      <c r="AYA11" s="192"/>
      <c r="AYB11" s="192"/>
      <c r="AYC11" s="192"/>
      <c r="AYD11" s="192"/>
      <c r="AYE11" s="192"/>
      <c r="AYF11" s="192"/>
      <c r="AYG11" s="192"/>
      <c r="AYH11" s="192"/>
      <c r="AYI11" s="192"/>
      <c r="AYJ11" s="192"/>
      <c r="AYK11" s="192"/>
      <c r="AYL11" s="192"/>
      <c r="AYM11" s="192"/>
      <c r="AYN11" s="192"/>
      <c r="AYO11" s="192"/>
      <c r="AYP11" s="192"/>
      <c r="AYQ11" s="192"/>
      <c r="AYR11" s="192"/>
      <c r="AYS11" s="192"/>
      <c r="AYT11" s="192"/>
      <c r="AYU11" s="192"/>
      <c r="AYV11" s="192"/>
      <c r="AYW11" s="192"/>
      <c r="AYX11" s="192"/>
      <c r="AYY11" s="192"/>
      <c r="AYZ11" s="192"/>
      <c r="AZA11" s="192"/>
      <c r="AZB11" s="192"/>
      <c r="AZC11" s="192"/>
      <c r="AZD11" s="192"/>
      <c r="AZE11" s="192"/>
      <c r="AZF11" s="192"/>
      <c r="AZG11" s="192"/>
      <c r="AZH11" s="192"/>
      <c r="AZI11" s="192"/>
      <c r="AZJ11" s="192"/>
      <c r="AZK11" s="192"/>
      <c r="AZL11" s="192"/>
      <c r="AZM11" s="192"/>
      <c r="AZN11" s="192"/>
      <c r="AZO11" s="192"/>
      <c r="AZP11" s="192"/>
      <c r="AZQ11" s="192"/>
      <c r="AZR11" s="192"/>
      <c r="AZS11" s="192"/>
      <c r="AZT11" s="192"/>
      <c r="AZU11" s="192"/>
      <c r="AZV11" s="192"/>
      <c r="AZW11" s="192"/>
      <c r="AZX11" s="192"/>
      <c r="AZY11" s="192"/>
      <c r="AZZ11" s="192"/>
      <c r="BAA11" s="192"/>
      <c r="BAB11" s="192"/>
      <c r="BAC11" s="192"/>
      <c r="BAD11" s="192"/>
      <c r="BAE11" s="192"/>
      <c r="BAF11" s="192"/>
      <c r="BAG11" s="192"/>
      <c r="BAH11" s="192" t="s">
        <v>75</v>
      </c>
      <c r="BAI11" s="192"/>
      <c r="BAJ11" s="192"/>
      <c r="BAK11" s="192"/>
      <c r="BAL11" s="192"/>
      <c r="BAM11" s="192"/>
      <c r="BAN11" s="192"/>
      <c r="BAO11" s="192"/>
      <c r="BAP11" s="192"/>
      <c r="BAQ11" s="192"/>
      <c r="BAR11" s="192"/>
      <c r="BAS11" s="192"/>
      <c r="BAT11" s="192"/>
      <c r="BAU11" s="192"/>
      <c r="BAV11" s="192"/>
      <c r="BAW11" s="192"/>
      <c r="BAX11" s="192"/>
      <c r="BAY11" s="192"/>
      <c r="BAZ11" s="192"/>
      <c r="BBA11" s="192"/>
      <c r="BBB11" s="192"/>
      <c r="BBC11" s="192"/>
      <c r="BBD11" s="192"/>
      <c r="BBE11" s="192"/>
      <c r="BBF11" s="192"/>
      <c r="BBG11" s="192"/>
      <c r="BBH11" s="192"/>
      <c r="BBI11" s="192"/>
      <c r="BBJ11" s="192"/>
      <c r="BBK11" s="192"/>
      <c r="BBL11" s="192"/>
      <c r="BBM11" s="192"/>
      <c r="BBN11" s="192"/>
      <c r="BBO11" s="192"/>
      <c r="BBP11" s="192"/>
      <c r="BBQ11" s="192"/>
      <c r="BBR11" s="192"/>
      <c r="BBS11" s="192"/>
      <c r="BBT11" s="192"/>
      <c r="BBU11" s="192"/>
      <c r="BBV11" s="192"/>
      <c r="BBW11" s="192"/>
      <c r="BBX11" s="192"/>
      <c r="BBY11" s="192"/>
      <c r="BBZ11" s="192"/>
      <c r="BCA11" s="192"/>
      <c r="BCB11" s="192"/>
      <c r="BCC11" s="192"/>
      <c r="BCD11" s="192"/>
      <c r="BCE11" s="192"/>
      <c r="BCF11" s="192"/>
      <c r="BCG11" s="192"/>
      <c r="BCH11" s="192"/>
      <c r="BCI11" s="192"/>
      <c r="BCJ11" s="192"/>
      <c r="BCK11" s="192"/>
      <c r="BCL11" s="192"/>
      <c r="BCM11" s="192"/>
      <c r="BCN11" s="192"/>
      <c r="BCO11" s="192"/>
      <c r="BCP11" s="192" t="s">
        <v>75</v>
      </c>
      <c r="BCQ11" s="192"/>
      <c r="BCR11" s="192"/>
      <c r="BCS11" s="192"/>
      <c r="BCT11" s="192"/>
      <c r="BCU11" s="192"/>
      <c r="BCV11" s="192"/>
      <c r="BCW11" s="192"/>
      <c r="BCX11" s="192"/>
      <c r="BCY11" s="192"/>
      <c r="BCZ11" s="192"/>
      <c r="BDA11" s="192"/>
      <c r="BDB11" s="192"/>
      <c r="BDC11" s="192"/>
      <c r="BDD11" s="192"/>
      <c r="BDE11" s="192"/>
      <c r="BDF11" s="192"/>
      <c r="BDG11" s="192"/>
      <c r="BDH11" s="192"/>
      <c r="BDI11" s="192"/>
      <c r="BDJ11" s="192"/>
      <c r="BDK11" s="192"/>
      <c r="BDL11" s="192"/>
      <c r="BDM11" s="192"/>
      <c r="BDN11" s="192"/>
      <c r="BDO11" s="192"/>
      <c r="BDP11" s="192"/>
      <c r="BDQ11" s="192"/>
      <c r="BDR11" s="192"/>
      <c r="BDS11" s="192"/>
      <c r="BDT11" s="192"/>
      <c r="BDU11" s="192"/>
      <c r="BDV11" s="192"/>
      <c r="BDW11" s="192"/>
      <c r="BDX11" s="192"/>
      <c r="BDY11" s="192"/>
      <c r="BDZ11" s="192"/>
      <c r="BEA11" s="192"/>
      <c r="BEB11" s="192"/>
      <c r="BEC11" s="192"/>
      <c r="BED11" s="192"/>
      <c r="BEE11" s="192"/>
      <c r="BEF11" s="192"/>
      <c r="BEG11" s="192"/>
      <c r="BEH11" s="192"/>
      <c r="BEI11" s="192"/>
      <c r="BEJ11" s="192"/>
      <c r="BEK11" s="192"/>
      <c r="BEL11" s="192"/>
      <c r="BEM11" s="192"/>
      <c r="BEN11" s="192"/>
      <c r="BEO11" s="192"/>
      <c r="BEP11" s="192"/>
      <c r="BEQ11" s="192"/>
      <c r="BER11" s="192"/>
      <c r="BES11" s="192"/>
      <c r="BET11" s="192"/>
      <c r="BEU11" s="192"/>
      <c r="BEV11" s="192"/>
      <c r="BEW11" s="192"/>
      <c r="BEX11" s="192" t="s">
        <v>87</v>
      </c>
      <c r="BEY11" s="192"/>
      <c r="BEZ11" s="192"/>
      <c r="BFA11" s="192"/>
      <c r="BFB11" s="192"/>
      <c r="BFC11" s="192"/>
      <c r="BFD11" s="192"/>
      <c r="BFE11" s="192"/>
      <c r="BFF11" s="192"/>
      <c r="BFG11" s="192"/>
      <c r="BFH11" s="192"/>
      <c r="BFI11" s="192"/>
      <c r="BFJ11" s="192"/>
      <c r="BFK11" s="192"/>
      <c r="BFL11" s="192"/>
      <c r="BFM11" s="192"/>
      <c r="BFN11" s="192"/>
      <c r="BFO11" s="192"/>
      <c r="BFP11" s="192"/>
      <c r="BFQ11" s="192"/>
      <c r="BFR11" s="192"/>
      <c r="BFS11" s="192"/>
      <c r="BFT11" s="192"/>
      <c r="BFU11" s="192"/>
      <c r="BFV11" s="192"/>
      <c r="BFW11" s="192"/>
      <c r="BFX11" s="192"/>
      <c r="BFY11" s="192"/>
      <c r="BFZ11" s="192"/>
      <c r="BGA11" s="192"/>
      <c r="BGB11" s="192"/>
      <c r="BGC11" s="192"/>
      <c r="BGD11" s="192"/>
      <c r="BGE11" s="192"/>
      <c r="BGF11" s="192"/>
      <c r="BGG11" s="192"/>
      <c r="BGH11" s="192"/>
      <c r="BGI11" s="192"/>
      <c r="BGJ11" s="192"/>
      <c r="BGK11" s="192"/>
      <c r="BGL11" s="192"/>
      <c r="BGM11" s="192"/>
      <c r="BGN11" s="192"/>
      <c r="BGO11" s="192"/>
      <c r="BGP11" s="192"/>
      <c r="BGQ11" s="192"/>
      <c r="BGR11" s="192"/>
      <c r="BGS11" s="192"/>
      <c r="BGT11" s="192"/>
      <c r="BGU11" s="192"/>
      <c r="BGV11" s="192"/>
      <c r="BGW11" s="192"/>
      <c r="BGX11" s="192"/>
      <c r="BGY11" s="192"/>
      <c r="BGZ11" s="192"/>
      <c r="BHA11" s="192"/>
      <c r="BHB11" s="192"/>
      <c r="BHC11" s="192"/>
      <c r="BHD11" s="192"/>
      <c r="BHE11" s="192"/>
      <c r="BHF11" s="90"/>
      <c r="BJN11" s="3" t="s">
        <v>42</v>
      </c>
      <c r="BLV11" s="3" t="s">
        <v>42</v>
      </c>
      <c r="BOD11" s="3" t="s">
        <v>42</v>
      </c>
      <c r="BQL11" s="3" t="s">
        <v>42</v>
      </c>
      <c r="BST11" s="3" t="s">
        <v>42</v>
      </c>
    </row>
    <row r="12" spans="1:1866" ht="15.75" customHeight="1" thickBot="1" x14ac:dyDescent="0.3">
      <c r="B12" s="97"/>
      <c r="C12" s="221"/>
      <c r="D12" s="221"/>
      <c r="E12" s="221"/>
      <c r="F12" s="213" t="s">
        <v>44</v>
      </c>
      <c r="G12" s="213"/>
      <c r="H12" s="213"/>
      <c r="I12" s="213"/>
      <c r="J12" s="213"/>
      <c r="K12" s="213"/>
      <c r="L12" s="213"/>
      <c r="M12" s="213"/>
      <c r="N12" s="213"/>
      <c r="O12" s="213"/>
      <c r="P12" s="213"/>
      <c r="Q12" s="213"/>
      <c r="R12" s="213"/>
      <c r="S12" s="213"/>
      <c r="T12" s="213"/>
      <c r="U12" s="213"/>
      <c r="V12" s="213"/>
      <c r="W12" s="213"/>
      <c r="X12" s="213"/>
      <c r="Y12" s="213"/>
      <c r="Z12" s="213"/>
      <c r="AA12" s="213"/>
      <c r="AB12" s="213"/>
      <c r="AC12" s="213"/>
      <c r="AD12" s="213"/>
      <c r="AE12" s="213"/>
      <c r="AF12" s="213"/>
      <c r="AG12" s="213"/>
      <c r="AH12" s="213"/>
      <c r="AI12" s="213"/>
      <c r="AJ12" s="213"/>
      <c r="AK12" s="213"/>
      <c r="AL12" s="213"/>
      <c r="AM12" s="213"/>
      <c r="AN12" s="213"/>
      <c r="AO12" s="213"/>
      <c r="AP12" s="213"/>
      <c r="AQ12" s="213"/>
      <c r="AR12" s="213"/>
      <c r="AS12" s="213"/>
      <c r="AT12" s="213"/>
      <c r="AU12" s="213"/>
      <c r="AV12" s="213"/>
      <c r="AW12" s="213"/>
      <c r="AX12" s="213"/>
      <c r="AY12" s="213"/>
      <c r="AZ12" s="213"/>
      <c r="BA12" s="213"/>
      <c r="BB12" s="213"/>
      <c r="BC12" s="213"/>
      <c r="BD12" s="213"/>
      <c r="BE12" s="213"/>
      <c r="BF12" s="213"/>
      <c r="BG12" s="213"/>
      <c r="BH12" s="213"/>
      <c r="BI12" s="213"/>
      <c r="BJ12" s="213"/>
      <c r="BK12" s="213"/>
      <c r="BL12" s="213"/>
      <c r="BM12" s="213"/>
      <c r="BN12" s="213" t="s">
        <v>45</v>
      </c>
      <c r="BO12" s="213"/>
      <c r="BP12" s="213"/>
      <c r="BQ12" s="213"/>
      <c r="BR12" s="213"/>
      <c r="BS12" s="213"/>
      <c r="BT12" s="213"/>
      <c r="BU12" s="213"/>
      <c r="BV12" s="213"/>
      <c r="BW12" s="213"/>
      <c r="BX12" s="213"/>
      <c r="BY12" s="213"/>
      <c r="BZ12" s="213"/>
      <c r="CA12" s="213"/>
      <c r="CB12" s="213"/>
      <c r="CC12" s="213"/>
      <c r="CD12" s="213"/>
      <c r="CE12" s="213"/>
      <c r="CF12" s="213"/>
      <c r="CG12" s="213"/>
      <c r="CH12" s="213"/>
      <c r="CI12" s="213"/>
      <c r="CJ12" s="213"/>
      <c r="CK12" s="213"/>
      <c r="CL12" s="213"/>
      <c r="CM12" s="213"/>
      <c r="CN12" s="213"/>
      <c r="CO12" s="213"/>
      <c r="CP12" s="213"/>
      <c r="CQ12" s="213"/>
      <c r="CR12" s="213"/>
      <c r="CS12" s="213"/>
      <c r="CT12" s="213"/>
      <c r="CU12" s="213"/>
      <c r="CV12" s="213"/>
      <c r="CW12" s="213"/>
      <c r="CX12" s="213"/>
      <c r="CY12" s="213"/>
      <c r="CZ12" s="213"/>
      <c r="DA12" s="213"/>
      <c r="DB12" s="213"/>
      <c r="DC12" s="213"/>
      <c r="DD12" s="213"/>
      <c r="DE12" s="213"/>
      <c r="DF12" s="213"/>
      <c r="DG12" s="213"/>
      <c r="DH12" s="213"/>
      <c r="DI12" s="213"/>
      <c r="DJ12" s="213"/>
      <c r="DK12" s="213"/>
      <c r="DL12" s="213"/>
      <c r="DM12" s="213"/>
      <c r="DN12" s="213"/>
      <c r="DO12" s="213"/>
      <c r="DP12" s="213"/>
      <c r="DQ12" s="213"/>
      <c r="DR12" s="213"/>
      <c r="DS12" s="213"/>
      <c r="DT12" s="213"/>
      <c r="DU12" s="213"/>
      <c r="DV12" s="193" t="s">
        <v>44</v>
      </c>
      <c r="DW12" s="193"/>
      <c r="DX12" s="193"/>
      <c r="DY12" s="193"/>
      <c r="DZ12" s="193"/>
      <c r="EA12" s="193"/>
      <c r="EB12" s="193"/>
      <c r="EC12" s="193"/>
      <c r="ED12" s="193"/>
      <c r="EE12" s="193"/>
      <c r="EF12" s="193"/>
      <c r="EG12" s="193"/>
      <c r="EH12" s="193"/>
      <c r="EI12" s="193"/>
      <c r="EJ12" s="193"/>
      <c r="EK12" s="193"/>
      <c r="EL12" s="193"/>
      <c r="EM12" s="193"/>
      <c r="EN12" s="193"/>
      <c r="EO12" s="193"/>
      <c r="EP12" s="193"/>
      <c r="EQ12" s="193"/>
      <c r="ER12" s="193"/>
      <c r="ES12" s="193"/>
      <c r="ET12" s="193"/>
      <c r="EU12" s="193"/>
      <c r="EV12" s="193"/>
      <c r="EW12" s="193"/>
      <c r="EX12" s="193"/>
      <c r="EY12" s="193"/>
      <c r="EZ12" s="193"/>
      <c r="FA12" s="193"/>
      <c r="FB12" s="193"/>
      <c r="FC12" s="193"/>
      <c r="FD12" s="193"/>
      <c r="FE12" s="193"/>
      <c r="FF12" s="193"/>
      <c r="FG12" s="193"/>
      <c r="FH12" s="193"/>
      <c r="FI12" s="193"/>
      <c r="FJ12" s="193"/>
      <c r="FK12" s="193"/>
      <c r="FL12" s="193"/>
      <c r="FM12" s="193"/>
      <c r="FN12" s="193"/>
      <c r="FO12" s="193"/>
      <c r="FP12" s="193"/>
      <c r="FQ12" s="193"/>
      <c r="FR12" s="193"/>
      <c r="FS12" s="193"/>
      <c r="FT12" s="193"/>
      <c r="FU12" s="193"/>
      <c r="FV12" s="193"/>
      <c r="FW12" s="193"/>
      <c r="FX12" s="193"/>
      <c r="FY12" s="193"/>
      <c r="FZ12" s="193"/>
      <c r="GA12" s="193"/>
      <c r="GB12" s="193"/>
      <c r="GC12" s="193"/>
      <c r="GD12" s="193" t="s">
        <v>45</v>
      </c>
      <c r="GE12" s="193"/>
      <c r="GF12" s="193"/>
      <c r="GG12" s="193"/>
      <c r="GH12" s="193"/>
      <c r="GI12" s="193"/>
      <c r="GJ12" s="193"/>
      <c r="GK12" s="193"/>
      <c r="GL12" s="193"/>
      <c r="GM12" s="193"/>
      <c r="GN12" s="193"/>
      <c r="GO12" s="193"/>
      <c r="GP12" s="193"/>
      <c r="GQ12" s="193"/>
      <c r="GR12" s="193"/>
      <c r="GS12" s="193"/>
      <c r="GT12" s="193"/>
      <c r="GU12" s="193"/>
      <c r="GV12" s="193"/>
      <c r="GW12" s="193"/>
      <c r="GX12" s="193"/>
      <c r="GY12" s="193"/>
      <c r="GZ12" s="193"/>
      <c r="HA12" s="193"/>
      <c r="HB12" s="193"/>
      <c r="HC12" s="193"/>
      <c r="HD12" s="193"/>
      <c r="HE12" s="193"/>
      <c r="HF12" s="193"/>
      <c r="HG12" s="193"/>
      <c r="HH12" s="193"/>
      <c r="HI12" s="193"/>
      <c r="HJ12" s="193"/>
      <c r="HK12" s="193"/>
      <c r="HL12" s="193"/>
      <c r="HM12" s="193"/>
      <c r="HN12" s="193"/>
      <c r="HO12" s="193"/>
      <c r="HP12" s="193"/>
      <c r="HQ12" s="193"/>
      <c r="HR12" s="193"/>
      <c r="HS12" s="193"/>
      <c r="HT12" s="193"/>
      <c r="HU12" s="193"/>
      <c r="HV12" s="193"/>
      <c r="HW12" s="193"/>
      <c r="HX12" s="193"/>
      <c r="HY12" s="193"/>
      <c r="HZ12" s="193"/>
      <c r="IA12" s="193"/>
      <c r="IB12" s="193"/>
      <c r="IC12" s="193"/>
      <c r="ID12" s="193"/>
      <c r="IE12" s="193"/>
      <c r="IF12" s="193"/>
      <c r="IG12" s="193"/>
      <c r="IH12" s="193"/>
      <c r="II12" s="193"/>
      <c r="IJ12" s="193"/>
      <c r="IK12" s="193"/>
      <c r="IL12" s="193" t="s">
        <v>44</v>
      </c>
      <c r="IM12" s="193"/>
      <c r="IN12" s="193"/>
      <c r="IO12" s="193"/>
      <c r="IP12" s="193"/>
      <c r="IQ12" s="193"/>
      <c r="IR12" s="193"/>
      <c r="IS12" s="193"/>
      <c r="IT12" s="193"/>
      <c r="IU12" s="193"/>
      <c r="IV12" s="193"/>
      <c r="IW12" s="193"/>
      <c r="IX12" s="193"/>
      <c r="IY12" s="193"/>
      <c r="IZ12" s="193"/>
      <c r="JA12" s="193"/>
      <c r="JB12" s="193"/>
      <c r="JC12" s="193"/>
      <c r="JD12" s="193"/>
      <c r="JE12" s="193"/>
      <c r="JF12" s="193"/>
      <c r="JG12" s="193"/>
      <c r="JH12" s="193"/>
      <c r="JI12" s="193"/>
      <c r="JJ12" s="193"/>
      <c r="JK12" s="193"/>
      <c r="JL12" s="193"/>
      <c r="JM12" s="193"/>
      <c r="JN12" s="193"/>
      <c r="JO12" s="193"/>
      <c r="JP12" s="193"/>
      <c r="JQ12" s="193"/>
      <c r="JR12" s="193"/>
      <c r="JS12" s="193"/>
      <c r="JT12" s="193"/>
      <c r="JU12" s="193"/>
      <c r="JV12" s="193"/>
      <c r="JW12" s="193"/>
      <c r="JX12" s="193"/>
      <c r="JY12" s="193"/>
      <c r="JZ12" s="193"/>
      <c r="KA12" s="193"/>
      <c r="KB12" s="193"/>
      <c r="KC12" s="193"/>
      <c r="KD12" s="193"/>
      <c r="KE12" s="193"/>
      <c r="KF12" s="193"/>
      <c r="KG12" s="193"/>
      <c r="KH12" s="193"/>
      <c r="KI12" s="193"/>
      <c r="KJ12" s="193"/>
      <c r="KK12" s="193"/>
      <c r="KL12" s="193"/>
      <c r="KM12" s="193"/>
      <c r="KN12" s="193"/>
      <c r="KO12" s="193"/>
      <c r="KP12" s="193"/>
      <c r="KQ12" s="193"/>
      <c r="KR12" s="193"/>
      <c r="KS12" s="193"/>
      <c r="KT12" s="193" t="s">
        <v>45</v>
      </c>
      <c r="KU12" s="193"/>
      <c r="KV12" s="193"/>
      <c r="KW12" s="193"/>
      <c r="KX12" s="193"/>
      <c r="KY12" s="193"/>
      <c r="KZ12" s="193"/>
      <c r="LA12" s="193"/>
      <c r="LB12" s="193"/>
      <c r="LC12" s="193"/>
      <c r="LD12" s="193"/>
      <c r="LE12" s="193"/>
      <c r="LF12" s="193"/>
      <c r="LG12" s="193"/>
      <c r="LH12" s="193"/>
      <c r="LI12" s="193"/>
      <c r="LJ12" s="193"/>
      <c r="LK12" s="193"/>
      <c r="LL12" s="193"/>
      <c r="LM12" s="193"/>
      <c r="LN12" s="193"/>
      <c r="LO12" s="193"/>
      <c r="LP12" s="193"/>
      <c r="LQ12" s="193"/>
      <c r="LR12" s="193"/>
      <c r="LS12" s="193"/>
      <c r="LT12" s="193"/>
      <c r="LU12" s="193"/>
      <c r="LV12" s="193"/>
      <c r="LW12" s="193"/>
      <c r="LX12" s="193"/>
      <c r="LY12" s="193"/>
      <c r="LZ12" s="193"/>
      <c r="MA12" s="193"/>
      <c r="MB12" s="193"/>
      <c r="MC12" s="193"/>
      <c r="MD12" s="193"/>
      <c r="ME12" s="193"/>
      <c r="MF12" s="193"/>
      <c r="MG12" s="193"/>
      <c r="MH12" s="193"/>
      <c r="MI12" s="193"/>
      <c r="MJ12" s="193"/>
      <c r="MK12" s="193"/>
      <c r="ML12" s="193"/>
      <c r="MM12" s="193"/>
      <c r="MN12" s="193"/>
      <c r="MO12" s="193"/>
      <c r="MP12" s="193"/>
      <c r="MQ12" s="193"/>
      <c r="MR12" s="193"/>
      <c r="MS12" s="193"/>
      <c r="MT12" s="193"/>
      <c r="MU12" s="193"/>
      <c r="MV12" s="193"/>
      <c r="MW12" s="193"/>
      <c r="MX12" s="193"/>
      <c r="MY12" s="193"/>
      <c r="MZ12" s="193"/>
      <c r="NA12" s="193"/>
      <c r="NB12" s="193" t="s">
        <v>45</v>
      </c>
      <c r="NC12" s="193"/>
      <c r="ND12" s="193"/>
      <c r="NE12" s="193"/>
      <c r="NF12" s="193"/>
      <c r="NG12" s="193"/>
      <c r="NH12" s="193"/>
      <c r="NI12" s="193"/>
      <c r="NJ12" s="193"/>
      <c r="NK12" s="193"/>
      <c r="NL12" s="193"/>
      <c r="NM12" s="193"/>
      <c r="NN12" s="193"/>
      <c r="NO12" s="193"/>
      <c r="NP12" s="193"/>
      <c r="NQ12" s="193"/>
      <c r="NR12" s="193"/>
      <c r="NS12" s="193"/>
      <c r="NT12" s="193"/>
      <c r="NU12" s="193"/>
      <c r="NV12" s="193"/>
      <c r="NW12" s="193"/>
      <c r="NX12" s="193"/>
      <c r="NY12" s="193"/>
      <c r="NZ12" s="193"/>
      <c r="OA12" s="193"/>
      <c r="OB12" s="193"/>
      <c r="OC12" s="193"/>
      <c r="OD12" s="193"/>
      <c r="OE12" s="193"/>
      <c r="OF12" s="193"/>
      <c r="OG12" s="193"/>
      <c r="OH12" s="193"/>
      <c r="OI12" s="193"/>
      <c r="OJ12" s="193"/>
      <c r="OK12" s="193"/>
      <c r="OL12" s="193"/>
      <c r="OM12" s="193"/>
      <c r="ON12" s="193"/>
      <c r="OO12" s="193"/>
      <c r="OP12" s="193"/>
      <c r="OQ12" s="193"/>
      <c r="OR12" s="193"/>
      <c r="OS12" s="193"/>
      <c r="OT12" s="193"/>
      <c r="OU12" s="193"/>
      <c r="OV12" s="193"/>
      <c r="OW12" s="193"/>
      <c r="OX12" s="193"/>
      <c r="OY12" s="193"/>
      <c r="OZ12" s="193"/>
      <c r="PA12" s="193"/>
      <c r="PB12" s="193"/>
      <c r="PC12" s="193"/>
      <c r="PD12" s="193"/>
      <c r="PE12" s="193"/>
      <c r="PF12" s="193"/>
      <c r="PG12" s="193"/>
      <c r="PH12" s="193"/>
      <c r="PI12" s="193"/>
      <c r="PJ12" s="193" t="s">
        <v>44</v>
      </c>
      <c r="PK12" s="193"/>
      <c r="PL12" s="193"/>
      <c r="PM12" s="193"/>
      <c r="PN12" s="193"/>
      <c r="PO12" s="193"/>
      <c r="PP12" s="193"/>
      <c r="PQ12" s="193"/>
      <c r="PR12" s="193"/>
      <c r="PS12" s="193"/>
      <c r="PT12" s="193"/>
      <c r="PU12" s="193"/>
      <c r="PV12" s="193"/>
      <c r="PW12" s="193"/>
      <c r="PX12" s="193"/>
      <c r="PY12" s="193"/>
      <c r="PZ12" s="193"/>
      <c r="QA12" s="193"/>
      <c r="QB12" s="193"/>
      <c r="QC12" s="193"/>
      <c r="QD12" s="193"/>
      <c r="QE12" s="193"/>
      <c r="QF12" s="193"/>
      <c r="QG12" s="193"/>
      <c r="QH12" s="193"/>
      <c r="QI12" s="193"/>
      <c r="QJ12" s="193"/>
      <c r="QK12" s="193"/>
      <c r="QL12" s="193"/>
      <c r="QM12" s="193"/>
      <c r="QN12" s="193"/>
      <c r="QO12" s="193"/>
      <c r="QP12" s="193"/>
      <c r="QQ12" s="193"/>
      <c r="QR12" s="193"/>
      <c r="QS12" s="193"/>
      <c r="QT12" s="193"/>
      <c r="QU12" s="193"/>
      <c r="QV12" s="193"/>
      <c r="QW12" s="193"/>
      <c r="QX12" s="193"/>
      <c r="QY12" s="193"/>
      <c r="QZ12" s="193"/>
      <c r="RA12" s="193"/>
      <c r="RB12" s="193"/>
      <c r="RC12" s="193"/>
      <c r="RD12" s="193"/>
      <c r="RE12" s="193"/>
      <c r="RF12" s="193"/>
      <c r="RG12" s="193"/>
      <c r="RH12" s="193"/>
      <c r="RI12" s="193"/>
      <c r="RJ12" s="193"/>
      <c r="RK12" s="193"/>
      <c r="RL12" s="193"/>
      <c r="RM12" s="193"/>
      <c r="RN12" s="193"/>
      <c r="RO12" s="193"/>
      <c r="RP12" s="193"/>
      <c r="RQ12" s="193"/>
      <c r="RR12" s="193" t="s">
        <v>45</v>
      </c>
      <c r="RS12" s="193"/>
      <c r="RT12" s="193"/>
      <c r="RU12" s="193"/>
      <c r="RV12" s="193"/>
      <c r="RW12" s="193"/>
      <c r="RX12" s="193"/>
      <c r="RY12" s="193"/>
      <c r="RZ12" s="193"/>
      <c r="SA12" s="193"/>
      <c r="SB12" s="193"/>
      <c r="SC12" s="193"/>
      <c r="SD12" s="193"/>
      <c r="SE12" s="193"/>
      <c r="SF12" s="193"/>
      <c r="SG12" s="193"/>
      <c r="SH12" s="193"/>
      <c r="SI12" s="193"/>
      <c r="SJ12" s="193"/>
      <c r="SK12" s="193"/>
      <c r="SL12" s="193"/>
      <c r="SM12" s="193"/>
      <c r="SN12" s="193"/>
      <c r="SO12" s="193"/>
      <c r="SP12" s="193"/>
      <c r="SQ12" s="193"/>
      <c r="SR12" s="193"/>
      <c r="SS12" s="193"/>
      <c r="ST12" s="193"/>
      <c r="SU12" s="193"/>
      <c r="SV12" s="193"/>
      <c r="SW12" s="193"/>
      <c r="SX12" s="193"/>
      <c r="SY12" s="193"/>
      <c r="SZ12" s="193"/>
      <c r="TA12" s="193"/>
      <c r="TB12" s="193"/>
      <c r="TC12" s="193"/>
      <c r="TD12" s="193"/>
      <c r="TE12" s="193"/>
      <c r="TF12" s="193"/>
      <c r="TG12" s="193"/>
      <c r="TH12" s="193"/>
      <c r="TI12" s="193"/>
      <c r="TJ12" s="193"/>
      <c r="TK12" s="193"/>
      <c r="TL12" s="193"/>
      <c r="TM12" s="193"/>
      <c r="TN12" s="193"/>
      <c r="TO12" s="193"/>
      <c r="TP12" s="193"/>
      <c r="TQ12" s="193"/>
      <c r="TR12" s="193"/>
      <c r="TS12" s="193"/>
      <c r="TT12" s="193"/>
      <c r="TU12" s="193"/>
      <c r="TV12" s="193"/>
      <c r="TW12" s="193"/>
      <c r="TX12" s="193"/>
      <c r="TY12" s="193"/>
      <c r="TZ12" s="193" t="s">
        <v>45</v>
      </c>
      <c r="UA12" s="193"/>
      <c r="UB12" s="193"/>
      <c r="UC12" s="193"/>
      <c r="UD12" s="193"/>
      <c r="UE12" s="193"/>
      <c r="UF12" s="193"/>
      <c r="UG12" s="193"/>
      <c r="UH12" s="193"/>
      <c r="UI12" s="193"/>
      <c r="UJ12" s="193"/>
      <c r="UK12" s="193"/>
      <c r="UL12" s="193"/>
      <c r="UM12" s="193"/>
      <c r="UN12" s="193"/>
      <c r="UO12" s="193"/>
      <c r="UP12" s="193"/>
      <c r="UQ12" s="193"/>
      <c r="UR12" s="193"/>
      <c r="US12" s="193"/>
      <c r="UT12" s="193"/>
      <c r="UU12" s="193"/>
      <c r="UV12" s="193"/>
      <c r="UW12" s="193"/>
      <c r="UX12" s="193"/>
      <c r="UY12" s="193"/>
      <c r="UZ12" s="193"/>
      <c r="VA12" s="193"/>
      <c r="VB12" s="193"/>
      <c r="VC12" s="193"/>
      <c r="VD12" s="193"/>
      <c r="VE12" s="193"/>
      <c r="VF12" s="193"/>
      <c r="VG12" s="193"/>
      <c r="VH12" s="193"/>
      <c r="VI12" s="193"/>
      <c r="VJ12" s="193"/>
      <c r="VK12" s="193"/>
      <c r="VL12" s="193"/>
      <c r="VM12" s="193"/>
      <c r="VN12" s="193"/>
      <c r="VO12" s="193"/>
      <c r="VP12" s="193"/>
      <c r="VQ12" s="193"/>
      <c r="VR12" s="193"/>
      <c r="VS12" s="193"/>
      <c r="VT12" s="193"/>
      <c r="VU12" s="193"/>
      <c r="VV12" s="193"/>
      <c r="VW12" s="193"/>
      <c r="VX12" s="193"/>
      <c r="VY12" s="193"/>
      <c r="VZ12" s="193"/>
      <c r="WA12" s="193"/>
      <c r="WB12" s="193"/>
      <c r="WC12" s="193"/>
      <c r="WD12" s="193"/>
      <c r="WE12" s="193"/>
      <c r="WF12" s="193"/>
      <c r="WG12" s="193"/>
      <c r="WH12" s="193" t="s">
        <v>44</v>
      </c>
      <c r="WI12" s="193"/>
      <c r="WJ12" s="193"/>
      <c r="WK12" s="193"/>
      <c r="WL12" s="193"/>
      <c r="WM12" s="193"/>
      <c r="WN12" s="193"/>
      <c r="WO12" s="193"/>
      <c r="WP12" s="193"/>
      <c r="WQ12" s="193"/>
      <c r="WR12" s="193"/>
      <c r="WS12" s="193"/>
      <c r="WT12" s="193"/>
      <c r="WU12" s="193"/>
      <c r="WV12" s="193"/>
      <c r="WW12" s="193"/>
      <c r="WX12" s="193"/>
      <c r="WY12" s="193"/>
      <c r="WZ12" s="193"/>
      <c r="XA12" s="193"/>
      <c r="XB12" s="193"/>
      <c r="XC12" s="193"/>
      <c r="XD12" s="193"/>
      <c r="XE12" s="193"/>
      <c r="XF12" s="193"/>
      <c r="XG12" s="193"/>
      <c r="XH12" s="193"/>
      <c r="XI12" s="193"/>
      <c r="XJ12" s="193"/>
      <c r="XK12" s="193"/>
      <c r="XL12" s="193"/>
      <c r="XM12" s="193"/>
      <c r="XN12" s="193"/>
      <c r="XO12" s="193"/>
      <c r="XP12" s="193"/>
      <c r="XQ12" s="193"/>
      <c r="XR12" s="193"/>
      <c r="XS12" s="193"/>
      <c r="XT12" s="193"/>
      <c r="XU12" s="193"/>
      <c r="XV12" s="193"/>
      <c r="XW12" s="193"/>
      <c r="XX12" s="193"/>
      <c r="XY12" s="193"/>
      <c r="XZ12" s="193"/>
      <c r="YA12" s="193"/>
      <c r="YB12" s="193"/>
      <c r="YC12" s="193"/>
      <c r="YD12" s="193"/>
      <c r="YE12" s="193"/>
      <c r="YF12" s="193"/>
      <c r="YG12" s="193"/>
      <c r="YH12" s="193"/>
      <c r="YI12" s="193"/>
      <c r="YJ12" s="193"/>
      <c r="YK12" s="193"/>
      <c r="YL12" s="193"/>
      <c r="YM12" s="193"/>
      <c r="YN12" s="193"/>
      <c r="YO12" s="193"/>
      <c r="YP12" s="193" t="s">
        <v>45</v>
      </c>
      <c r="YQ12" s="193"/>
      <c r="YR12" s="193"/>
      <c r="YS12" s="193"/>
      <c r="YT12" s="193"/>
      <c r="YU12" s="193"/>
      <c r="YV12" s="193"/>
      <c r="YW12" s="193"/>
      <c r="YX12" s="193"/>
      <c r="YY12" s="193"/>
      <c r="YZ12" s="193"/>
      <c r="ZA12" s="193"/>
      <c r="ZB12" s="193"/>
      <c r="ZC12" s="193"/>
      <c r="ZD12" s="193"/>
      <c r="ZE12" s="193"/>
      <c r="ZF12" s="193"/>
      <c r="ZG12" s="193"/>
      <c r="ZH12" s="193"/>
      <c r="ZI12" s="193"/>
      <c r="ZJ12" s="193"/>
      <c r="ZK12" s="193"/>
      <c r="ZL12" s="193"/>
      <c r="ZM12" s="193"/>
      <c r="ZN12" s="193"/>
      <c r="ZO12" s="193"/>
      <c r="ZP12" s="193"/>
      <c r="ZQ12" s="193"/>
      <c r="ZR12" s="193"/>
      <c r="ZS12" s="193"/>
      <c r="ZT12" s="193"/>
      <c r="ZU12" s="193"/>
      <c r="ZV12" s="193"/>
      <c r="ZW12" s="193"/>
      <c r="ZX12" s="193"/>
      <c r="ZY12" s="193"/>
      <c r="ZZ12" s="193"/>
      <c r="AAA12" s="193"/>
      <c r="AAB12" s="193"/>
      <c r="AAC12" s="193"/>
      <c r="AAD12" s="193"/>
      <c r="AAE12" s="193"/>
      <c r="AAF12" s="193"/>
      <c r="AAG12" s="193"/>
      <c r="AAH12" s="193"/>
      <c r="AAI12" s="193"/>
      <c r="AAJ12" s="193"/>
      <c r="AAK12" s="193"/>
      <c r="AAL12" s="193"/>
      <c r="AAM12" s="193"/>
      <c r="AAN12" s="193"/>
      <c r="AAO12" s="193"/>
      <c r="AAP12" s="193"/>
      <c r="AAQ12" s="193"/>
      <c r="AAR12" s="193"/>
      <c r="AAS12" s="193"/>
      <c r="AAT12" s="193"/>
      <c r="AAU12" s="193"/>
      <c r="AAV12" s="193"/>
      <c r="AAW12" s="193"/>
      <c r="AAX12" s="193" t="s">
        <v>44</v>
      </c>
      <c r="AAY12" s="193"/>
      <c r="AAZ12" s="193"/>
      <c r="ABA12" s="193"/>
      <c r="ABB12" s="193"/>
      <c r="ABC12" s="193"/>
      <c r="ABD12" s="193"/>
      <c r="ABE12" s="193"/>
      <c r="ABF12" s="193"/>
      <c r="ABG12" s="193"/>
      <c r="ABH12" s="193"/>
      <c r="ABI12" s="193"/>
      <c r="ABJ12" s="193"/>
      <c r="ABK12" s="193"/>
      <c r="ABL12" s="193"/>
      <c r="ABM12" s="193"/>
      <c r="ABN12" s="193"/>
      <c r="ABO12" s="193"/>
      <c r="ABP12" s="193"/>
      <c r="ABQ12" s="193"/>
      <c r="ABR12" s="193"/>
      <c r="ABS12" s="193"/>
      <c r="ABT12" s="193"/>
      <c r="ABU12" s="193"/>
      <c r="ABV12" s="193"/>
      <c r="ABW12" s="193"/>
      <c r="ABX12" s="193"/>
      <c r="ABY12" s="193"/>
      <c r="ABZ12" s="193"/>
      <c r="ACA12" s="193"/>
      <c r="ACB12" s="193"/>
      <c r="ACC12" s="193"/>
      <c r="ACD12" s="193"/>
      <c r="ACE12" s="193"/>
      <c r="ACF12" s="193"/>
      <c r="ACG12" s="193"/>
      <c r="ACH12" s="193"/>
      <c r="ACI12" s="193"/>
      <c r="ACJ12" s="193"/>
      <c r="ACK12" s="193"/>
      <c r="ACL12" s="193"/>
      <c r="ACM12" s="193"/>
      <c r="ACN12" s="193"/>
      <c r="ACO12" s="193"/>
      <c r="ACP12" s="193"/>
      <c r="ACQ12" s="193"/>
      <c r="ACR12" s="193"/>
      <c r="ACS12" s="193"/>
      <c r="ACT12" s="193"/>
      <c r="ACU12" s="193"/>
      <c r="ACV12" s="193"/>
      <c r="ACW12" s="193"/>
      <c r="ACX12" s="193"/>
      <c r="ACY12" s="193"/>
      <c r="ACZ12" s="193"/>
      <c r="ADA12" s="193"/>
      <c r="ADB12" s="193"/>
      <c r="ADC12" s="193"/>
      <c r="ADD12" s="193"/>
      <c r="ADE12" s="193"/>
      <c r="ADF12" s="193" t="s">
        <v>45</v>
      </c>
      <c r="ADG12" s="193"/>
      <c r="ADH12" s="193"/>
      <c r="ADI12" s="193"/>
      <c r="ADJ12" s="193"/>
      <c r="ADK12" s="193"/>
      <c r="ADL12" s="193"/>
      <c r="ADM12" s="193"/>
      <c r="ADN12" s="193"/>
      <c r="ADO12" s="193"/>
      <c r="ADP12" s="193"/>
      <c r="ADQ12" s="193"/>
      <c r="ADR12" s="193"/>
      <c r="ADS12" s="193"/>
      <c r="ADT12" s="193"/>
      <c r="ADU12" s="193"/>
      <c r="ADV12" s="193"/>
      <c r="ADW12" s="193"/>
      <c r="ADX12" s="193"/>
      <c r="ADY12" s="193"/>
      <c r="ADZ12" s="193"/>
      <c r="AEA12" s="193"/>
      <c r="AEB12" s="193"/>
      <c r="AEC12" s="193"/>
      <c r="AED12" s="193"/>
      <c r="AEE12" s="193"/>
      <c r="AEF12" s="193"/>
      <c r="AEG12" s="193"/>
      <c r="AEH12" s="193"/>
      <c r="AEI12" s="193"/>
      <c r="AEJ12" s="193"/>
      <c r="AEK12" s="193"/>
      <c r="AEL12" s="193"/>
      <c r="AEM12" s="193"/>
      <c r="AEN12" s="193"/>
      <c r="AEO12" s="193"/>
      <c r="AEP12" s="193"/>
      <c r="AEQ12" s="193"/>
      <c r="AER12" s="193"/>
      <c r="AES12" s="193"/>
      <c r="AET12" s="193"/>
      <c r="AEU12" s="193"/>
      <c r="AEV12" s="193"/>
      <c r="AEW12" s="193"/>
      <c r="AEX12" s="193"/>
      <c r="AEY12" s="193"/>
      <c r="AEZ12" s="193"/>
      <c r="AFA12" s="193"/>
      <c r="AFB12" s="193"/>
      <c r="AFC12" s="193"/>
      <c r="AFD12" s="193"/>
      <c r="AFE12" s="193"/>
      <c r="AFF12" s="193"/>
      <c r="AFG12" s="193"/>
      <c r="AFH12" s="193"/>
      <c r="AFI12" s="193"/>
      <c r="AFJ12" s="193"/>
      <c r="AFK12" s="193"/>
      <c r="AFL12" s="193"/>
      <c r="AFM12" s="193"/>
      <c r="AFN12" s="193" t="s">
        <v>44</v>
      </c>
      <c r="AFO12" s="193"/>
      <c r="AFP12" s="193"/>
      <c r="AFQ12" s="193"/>
      <c r="AFR12" s="193"/>
      <c r="AFS12" s="193"/>
      <c r="AFT12" s="193"/>
      <c r="AFU12" s="193"/>
      <c r="AFV12" s="193"/>
      <c r="AFW12" s="193"/>
      <c r="AFX12" s="193"/>
      <c r="AFY12" s="193"/>
      <c r="AFZ12" s="193"/>
      <c r="AGA12" s="193"/>
      <c r="AGB12" s="193"/>
      <c r="AGC12" s="193"/>
      <c r="AGD12" s="193"/>
      <c r="AGE12" s="193"/>
      <c r="AGF12" s="193"/>
      <c r="AGG12" s="193"/>
      <c r="AGH12" s="193"/>
      <c r="AGI12" s="193"/>
      <c r="AGJ12" s="193"/>
      <c r="AGK12" s="193"/>
      <c r="AGL12" s="193"/>
      <c r="AGM12" s="193"/>
      <c r="AGN12" s="193"/>
      <c r="AGO12" s="193"/>
      <c r="AGP12" s="193"/>
      <c r="AGQ12" s="193"/>
      <c r="AGR12" s="193"/>
      <c r="AGS12" s="193"/>
      <c r="AGT12" s="193"/>
      <c r="AGU12" s="193"/>
      <c r="AGV12" s="193"/>
      <c r="AGW12" s="193"/>
      <c r="AGX12" s="193"/>
      <c r="AGY12" s="193"/>
      <c r="AGZ12" s="193"/>
      <c r="AHA12" s="193"/>
      <c r="AHB12" s="193"/>
      <c r="AHC12" s="193"/>
      <c r="AHD12" s="193"/>
      <c r="AHE12" s="193"/>
      <c r="AHF12" s="193"/>
      <c r="AHG12" s="193"/>
      <c r="AHH12" s="193"/>
      <c r="AHI12" s="193"/>
      <c r="AHJ12" s="193"/>
      <c r="AHK12" s="193"/>
      <c r="AHL12" s="193"/>
      <c r="AHM12" s="193"/>
      <c r="AHN12" s="193"/>
      <c r="AHO12" s="193"/>
      <c r="AHP12" s="193"/>
      <c r="AHQ12" s="193"/>
      <c r="AHR12" s="193"/>
      <c r="AHS12" s="193"/>
      <c r="AHT12" s="193"/>
      <c r="AHU12" s="193"/>
      <c r="AHV12" s="193" t="s">
        <v>45</v>
      </c>
      <c r="AHW12" s="193"/>
      <c r="AHX12" s="193"/>
      <c r="AHY12" s="193"/>
      <c r="AHZ12" s="193"/>
      <c r="AIA12" s="193"/>
      <c r="AIB12" s="193"/>
      <c r="AIC12" s="193"/>
      <c r="AID12" s="193"/>
      <c r="AIE12" s="193"/>
      <c r="AIF12" s="193"/>
      <c r="AIG12" s="193"/>
      <c r="AIH12" s="193"/>
      <c r="AII12" s="193"/>
      <c r="AIJ12" s="193"/>
      <c r="AIK12" s="193"/>
      <c r="AIL12" s="193"/>
      <c r="AIM12" s="193"/>
      <c r="AIN12" s="193"/>
      <c r="AIO12" s="193"/>
      <c r="AIP12" s="193"/>
      <c r="AIQ12" s="193"/>
      <c r="AIR12" s="193"/>
      <c r="AIS12" s="193"/>
      <c r="AIT12" s="193"/>
      <c r="AIU12" s="193"/>
      <c r="AIV12" s="193"/>
      <c r="AIW12" s="193"/>
      <c r="AIX12" s="193"/>
      <c r="AIY12" s="193"/>
      <c r="AIZ12" s="193"/>
      <c r="AJA12" s="193"/>
      <c r="AJB12" s="193"/>
      <c r="AJC12" s="193"/>
      <c r="AJD12" s="193"/>
      <c r="AJE12" s="193"/>
      <c r="AJF12" s="193"/>
      <c r="AJG12" s="193"/>
      <c r="AJH12" s="193"/>
      <c r="AJI12" s="193"/>
      <c r="AJJ12" s="193"/>
      <c r="AJK12" s="193"/>
      <c r="AJL12" s="193"/>
      <c r="AJM12" s="193"/>
      <c r="AJN12" s="193"/>
      <c r="AJO12" s="193"/>
      <c r="AJP12" s="193"/>
      <c r="AJQ12" s="193"/>
      <c r="AJR12" s="193"/>
      <c r="AJS12" s="193"/>
      <c r="AJT12" s="193"/>
      <c r="AJU12" s="193"/>
      <c r="AJV12" s="193"/>
      <c r="AJW12" s="193"/>
      <c r="AJX12" s="193"/>
      <c r="AJY12" s="193"/>
      <c r="AJZ12" s="193"/>
      <c r="AKA12" s="193"/>
      <c r="AKB12" s="193"/>
      <c r="AKC12" s="193"/>
      <c r="AKD12" s="193" t="s">
        <v>44</v>
      </c>
      <c r="AKE12" s="193"/>
      <c r="AKF12" s="193"/>
      <c r="AKG12" s="193"/>
      <c r="AKH12" s="193"/>
      <c r="AKI12" s="193"/>
      <c r="AKJ12" s="193"/>
      <c r="AKK12" s="193"/>
      <c r="AKL12" s="193"/>
      <c r="AKM12" s="193"/>
      <c r="AKN12" s="193"/>
      <c r="AKO12" s="193"/>
      <c r="AKP12" s="193"/>
      <c r="AKQ12" s="193"/>
      <c r="AKR12" s="193"/>
      <c r="AKS12" s="193"/>
      <c r="AKT12" s="193"/>
      <c r="AKU12" s="193"/>
      <c r="AKV12" s="193"/>
      <c r="AKW12" s="193"/>
      <c r="AKX12" s="193"/>
      <c r="AKY12" s="193"/>
      <c r="AKZ12" s="193"/>
      <c r="ALA12" s="193"/>
      <c r="ALB12" s="193"/>
      <c r="ALC12" s="193"/>
      <c r="ALD12" s="193"/>
      <c r="ALE12" s="193"/>
      <c r="ALF12" s="193"/>
      <c r="ALG12" s="193"/>
      <c r="ALH12" s="193"/>
      <c r="ALI12" s="193"/>
      <c r="ALJ12" s="193"/>
      <c r="ALK12" s="193"/>
      <c r="ALL12" s="193"/>
      <c r="ALM12" s="193"/>
      <c r="ALN12" s="193"/>
      <c r="ALO12" s="193"/>
      <c r="ALP12" s="193"/>
      <c r="ALQ12" s="193"/>
      <c r="ALR12" s="193"/>
      <c r="ALS12" s="193"/>
      <c r="ALT12" s="193"/>
      <c r="ALU12" s="193"/>
      <c r="ALV12" s="193"/>
      <c r="ALW12" s="193"/>
      <c r="ALX12" s="193"/>
      <c r="ALY12" s="193"/>
      <c r="ALZ12" s="193"/>
      <c r="AMA12" s="193"/>
      <c r="AMB12" s="193"/>
      <c r="AMC12" s="193"/>
      <c r="AMD12" s="193"/>
      <c r="AME12" s="193"/>
      <c r="AMF12" s="193"/>
      <c r="AMG12" s="193"/>
      <c r="AMH12" s="193"/>
      <c r="AMI12" s="193"/>
      <c r="AMJ12" s="193"/>
      <c r="AMK12" s="193"/>
      <c r="AML12" s="193" t="s">
        <v>45</v>
      </c>
      <c r="AMM12" s="193"/>
      <c r="AMN12" s="193"/>
      <c r="AMO12" s="193"/>
      <c r="AMP12" s="193"/>
      <c r="AMQ12" s="193"/>
      <c r="AMR12" s="193"/>
      <c r="AMS12" s="193"/>
      <c r="AMT12" s="193"/>
      <c r="AMU12" s="193"/>
      <c r="AMV12" s="193"/>
      <c r="AMW12" s="193"/>
      <c r="AMX12" s="193"/>
      <c r="AMY12" s="193"/>
      <c r="AMZ12" s="193"/>
      <c r="ANA12" s="193"/>
      <c r="ANB12" s="193"/>
      <c r="ANC12" s="193"/>
      <c r="AND12" s="193"/>
      <c r="ANE12" s="193"/>
      <c r="ANF12" s="193"/>
      <c r="ANG12" s="193"/>
      <c r="ANH12" s="193"/>
      <c r="ANI12" s="193"/>
      <c r="ANJ12" s="193"/>
      <c r="ANK12" s="193"/>
      <c r="ANL12" s="193"/>
      <c r="ANM12" s="193"/>
      <c r="ANN12" s="193"/>
      <c r="ANO12" s="193"/>
      <c r="ANP12" s="193"/>
      <c r="ANQ12" s="193"/>
      <c r="ANR12" s="193"/>
      <c r="ANS12" s="193"/>
      <c r="ANT12" s="193"/>
      <c r="ANU12" s="193"/>
      <c r="ANV12" s="193"/>
      <c r="ANW12" s="193"/>
      <c r="ANX12" s="193"/>
      <c r="ANY12" s="193"/>
      <c r="ANZ12" s="193"/>
      <c r="AOA12" s="193"/>
      <c r="AOB12" s="193"/>
      <c r="AOC12" s="193"/>
      <c r="AOD12" s="193"/>
      <c r="AOE12" s="193"/>
      <c r="AOF12" s="193"/>
      <c r="AOG12" s="193"/>
      <c r="AOH12" s="193"/>
      <c r="AOI12" s="193"/>
      <c r="AOJ12" s="193"/>
      <c r="AOK12" s="193"/>
      <c r="AOL12" s="193"/>
      <c r="AOM12" s="193"/>
      <c r="AON12" s="193"/>
      <c r="AOO12" s="193"/>
      <c r="AOP12" s="193"/>
      <c r="AOQ12" s="193"/>
      <c r="AOR12" s="193"/>
      <c r="AOS12" s="193"/>
      <c r="AOT12" s="193" t="s">
        <v>45</v>
      </c>
      <c r="AOU12" s="193"/>
      <c r="AOV12" s="193"/>
      <c r="AOW12" s="193"/>
      <c r="AOX12" s="193"/>
      <c r="AOY12" s="193"/>
      <c r="AOZ12" s="193"/>
      <c r="APA12" s="193"/>
      <c r="APB12" s="193"/>
      <c r="APC12" s="193"/>
      <c r="APD12" s="193"/>
      <c r="APE12" s="193"/>
      <c r="APF12" s="193"/>
      <c r="APG12" s="193"/>
      <c r="APH12" s="193"/>
      <c r="API12" s="193"/>
      <c r="APJ12" s="193"/>
      <c r="APK12" s="193"/>
      <c r="APL12" s="193"/>
      <c r="APM12" s="193"/>
      <c r="APN12" s="193"/>
      <c r="APO12" s="193"/>
      <c r="APP12" s="193"/>
      <c r="APQ12" s="193"/>
      <c r="APR12" s="193"/>
      <c r="APS12" s="193"/>
      <c r="APT12" s="193"/>
      <c r="APU12" s="193"/>
      <c r="APV12" s="193"/>
      <c r="APW12" s="193"/>
      <c r="APX12" s="193"/>
      <c r="APY12" s="193"/>
      <c r="APZ12" s="193"/>
      <c r="AQA12" s="193"/>
      <c r="AQB12" s="193"/>
      <c r="AQC12" s="193"/>
      <c r="AQD12" s="193"/>
      <c r="AQE12" s="193"/>
      <c r="AQF12" s="193"/>
      <c r="AQG12" s="193"/>
      <c r="AQH12" s="193"/>
      <c r="AQI12" s="193"/>
      <c r="AQJ12" s="193"/>
      <c r="AQK12" s="193"/>
      <c r="AQL12" s="193"/>
      <c r="AQM12" s="193"/>
      <c r="AQN12" s="193"/>
      <c r="AQO12" s="193"/>
      <c r="AQP12" s="193"/>
      <c r="AQQ12" s="193"/>
      <c r="AQR12" s="193"/>
      <c r="AQS12" s="193"/>
      <c r="AQT12" s="193"/>
      <c r="AQU12" s="193"/>
      <c r="AQV12" s="193"/>
      <c r="AQW12" s="193"/>
      <c r="AQX12" s="193"/>
      <c r="AQY12" s="193"/>
      <c r="AQZ12" s="193"/>
      <c r="ARA12" s="193"/>
      <c r="ARB12" s="193" t="s">
        <v>44</v>
      </c>
      <c r="ARC12" s="193"/>
      <c r="ARD12" s="193"/>
      <c r="ARE12" s="193"/>
      <c r="ARF12" s="193"/>
      <c r="ARG12" s="193"/>
      <c r="ARH12" s="193"/>
      <c r="ARI12" s="193"/>
      <c r="ARJ12" s="193"/>
      <c r="ARK12" s="193"/>
      <c r="ARL12" s="193"/>
      <c r="ARM12" s="193"/>
      <c r="ARN12" s="193"/>
      <c r="ARO12" s="193"/>
      <c r="ARP12" s="193"/>
      <c r="ARQ12" s="193"/>
      <c r="ARR12" s="193"/>
      <c r="ARS12" s="193"/>
      <c r="ART12" s="193"/>
      <c r="ARU12" s="193"/>
      <c r="ARV12" s="193"/>
      <c r="ARW12" s="193"/>
      <c r="ARX12" s="193"/>
      <c r="ARY12" s="193"/>
      <c r="ARZ12" s="193"/>
      <c r="ASA12" s="193"/>
      <c r="ASB12" s="193"/>
      <c r="ASC12" s="193"/>
      <c r="ASD12" s="193"/>
      <c r="ASE12" s="193"/>
      <c r="ASF12" s="193"/>
      <c r="ASG12" s="193"/>
      <c r="ASH12" s="193"/>
      <c r="ASI12" s="193"/>
      <c r="ASJ12" s="193"/>
      <c r="ASK12" s="193"/>
      <c r="ASL12" s="193"/>
      <c r="ASM12" s="193"/>
      <c r="ASN12" s="193"/>
      <c r="ASO12" s="193"/>
      <c r="ASP12" s="193"/>
      <c r="ASQ12" s="193"/>
      <c r="ASR12" s="193"/>
      <c r="ASS12" s="193"/>
      <c r="AST12" s="193"/>
      <c r="ASU12" s="193"/>
      <c r="ASV12" s="193"/>
      <c r="ASW12" s="193"/>
      <c r="ASX12" s="193"/>
      <c r="ASY12" s="193"/>
      <c r="ASZ12" s="193"/>
      <c r="ATA12" s="193"/>
      <c r="ATB12" s="193"/>
      <c r="ATC12" s="193"/>
      <c r="ATD12" s="193"/>
      <c r="ATE12" s="193"/>
      <c r="ATF12" s="193"/>
      <c r="ATG12" s="193"/>
      <c r="ATH12" s="193"/>
      <c r="ATI12" s="193"/>
      <c r="ATJ12" s="193" t="s">
        <v>45</v>
      </c>
      <c r="ATK12" s="193"/>
      <c r="ATL12" s="193"/>
      <c r="ATM12" s="193"/>
      <c r="ATN12" s="193"/>
      <c r="ATO12" s="193"/>
      <c r="ATP12" s="193"/>
      <c r="ATQ12" s="193"/>
      <c r="ATR12" s="193"/>
      <c r="ATS12" s="193"/>
      <c r="ATT12" s="193"/>
      <c r="ATU12" s="193"/>
      <c r="ATV12" s="193"/>
      <c r="ATW12" s="193"/>
      <c r="ATX12" s="193"/>
      <c r="ATY12" s="193"/>
      <c r="ATZ12" s="193"/>
      <c r="AUA12" s="193"/>
      <c r="AUB12" s="193"/>
      <c r="AUC12" s="193"/>
      <c r="AUD12" s="193"/>
      <c r="AUE12" s="193"/>
      <c r="AUF12" s="193"/>
      <c r="AUG12" s="193"/>
      <c r="AUH12" s="193"/>
      <c r="AUI12" s="193"/>
      <c r="AUJ12" s="193"/>
      <c r="AUK12" s="193"/>
      <c r="AUL12" s="193"/>
      <c r="AUM12" s="193"/>
      <c r="AUN12" s="193"/>
      <c r="AUO12" s="193"/>
      <c r="AUP12" s="193"/>
      <c r="AUQ12" s="193"/>
      <c r="AUR12" s="193"/>
      <c r="AUS12" s="193"/>
      <c r="AUT12" s="193"/>
      <c r="AUU12" s="193"/>
      <c r="AUV12" s="193"/>
      <c r="AUW12" s="193"/>
      <c r="AUX12" s="193"/>
      <c r="AUY12" s="193"/>
      <c r="AUZ12" s="193"/>
      <c r="AVA12" s="193"/>
      <c r="AVB12" s="193"/>
      <c r="AVC12" s="193"/>
      <c r="AVD12" s="193"/>
      <c r="AVE12" s="193"/>
      <c r="AVF12" s="193"/>
      <c r="AVG12" s="193"/>
      <c r="AVH12" s="193"/>
      <c r="AVI12" s="193"/>
      <c r="AVJ12" s="193"/>
      <c r="AVK12" s="193"/>
      <c r="AVL12" s="193"/>
      <c r="AVM12" s="193"/>
      <c r="AVN12" s="193"/>
      <c r="AVO12" s="193"/>
      <c r="AVP12" s="193"/>
      <c r="AVQ12" s="193"/>
      <c r="AVR12" s="193" t="s">
        <v>45</v>
      </c>
      <c r="AVS12" s="193"/>
      <c r="AVT12" s="193"/>
      <c r="AVU12" s="193"/>
      <c r="AVV12" s="193"/>
      <c r="AVW12" s="193"/>
      <c r="AVX12" s="193"/>
      <c r="AVY12" s="193"/>
      <c r="AVZ12" s="193"/>
      <c r="AWA12" s="193"/>
      <c r="AWB12" s="193"/>
      <c r="AWC12" s="193"/>
      <c r="AWD12" s="193"/>
      <c r="AWE12" s="193"/>
      <c r="AWF12" s="193"/>
      <c r="AWG12" s="193"/>
      <c r="AWH12" s="193"/>
      <c r="AWI12" s="193"/>
      <c r="AWJ12" s="193"/>
      <c r="AWK12" s="193"/>
      <c r="AWL12" s="193"/>
      <c r="AWM12" s="193"/>
      <c r="AWN12" s="193"/>
      <c r="AWO12" s="193"/>
      <c r="AWP12" s="193"/>
      <c r="AWQ12" s="193"/>
      <c r="AWR12" s="193"/>
      <c r="AWS12" s="193"/>
      <c r="AWT12" s="193"/>
      <c r="AWU12" s="193"/>
      <c r="AWV12" s="193"/>
      <c r="AWW12" s="193"/>
      <c r="AWX12" s="193"/>
      <c r="AWY12" s="193"/>
      <c r="AWZ12" s="193"/>
      <c r="AXA12" s="193"/>
      <c r="AXB12" s="193"/>
      <c r="AXC12" s="193"/>
      <c r="AXD12" s="193"/>
      <c r="AXE12" s="193"/>
      <c r="AXF12" s="193"/>
      <c r="AXG12" s="193"/>
      <c r="AXH12" s="193"/>
      <c r="AXI12" s="193"/>
      <c r="AXJ12" s="193"/>
      <c r="AXK12" s="193"/>
      <c r="AXL12" s="193"/>
      <c r="AXM12" s="193"/>
      <c r="AXN12" s="193"/>
      <c r="AXO12" s="193"/>
      <c r="AXP12" s="193"/>
      <c r="AXQ12" s="193"/>
      <c r="AXR12" s="193"/>
      <c r="AXS12" s="193"/>
      <c r="AXT12" s="193"/>
      <c r="AXU12" s="193"/>
      <c r="AXV12" s="193"/>
      <c r="AXW12" s="193"/>
      <c r="AXX12" s="193"/>
      <c r="AXY12" s="193"/>
      <c r="AXZ12" s="193" t="s">
        <v>44</v>
      </c>
      <c r="AYA12" s="193"/>
      <c r="AYB12" s="193"/>
      <c r="AYC12" s="193"/>
      <c r="AYD12" s="193"/>
      <c r="AYE12" s="193"/>
      <c r="AYF12" s="193"/>
      <c r="AYG12" s="193"/>
      <c r="AYH12" s="193"/>
      <c r="AYI12" s="193"/>
      <c r="AYJ12" s="193"/>
      <c r="AYK12" s="193"/>
      <c r="AYL12" s="193"/>
      <c r="AYM12" s="193"/>
      <c r="AYN12" s="193"/>
      <c r="AYO12" s="193"/>
      <c r="AYP12" s="193"/>
      <c r="AYQ12" s="193"/>
      <c r="AYR12" s="193"/>
      <c r="AYS12" s="193"/>
      <c r="AYT12" s="193"/>
      <c r="AYU12" s="193"/>
      <c r="AYV12" s="193"/>
      <c r="AYW12" s="193"/>
      <c r="AYX12" s="193"/>
      <c r="AYY12" s="193"/>
      <c r="AYZ12" s="193"/>
      <c r="AZA12" s="193"/>
      <c r="AZB12" s="193"/>
      <c r="AZC12" s="193"/>
      <c r="AZD12" s="193"/>
      <c r="AZE12" s="193"/>
      <c r="AZF12" s="193"/>
      <c r="AZG12" s="193"/>
      <c r="AZH12" s="193"/>
      <c r="AZI12" s="193"/>
      <c r="AZJ12" s="193"/>
      <c r="AZK12" s="193"/>
      <c r="AZL12" s="193"/>
      <c r="AZM12" s="193"/>
      <c r="AZN12" s="193"/>
      <c r="AZO12" s="193"/>
      <c r="AZP12" s="193"/>
      <c r="AZQ12" s="193"/>
      <c r="AZR12" s="193"/>
      <c r="AZS12" s="193"/>
      <c r="AZT12" s="193"/>
      <c r="AZU12" s="193"/>
      <c r="AZV12" s="193"/>
      <c r="AZW12" s="193"/>
      <c r="AZX12" s="193"/>
      <c r="AZY12" s="193"/>
      <c r="AZZ12" s="193"/>
      <c r="BAA12" s="193"/>
      <c r="BAB12" s="193"/>
      <c r="BAC12" s="193"/>
      <c r="BAD12" s="193"/>
      <c r="BAE12" s="193"/>
      <c r="BAF12" s="193"/>
      <c r="BAG12" s="193"/>
      <c r="BAH12" s="193" t="s">
        <v>45</v>
      </c>
      <c r="BAI12" s="193"/>
      <c r="BAJ12" s="193"/>
      <c r="BAK12" s="193"/>
      <c r="BAL12" s="193"/>
      <c r="BAM12" s="193"/>
      <c r="BAN12" s="193"/>
      <c r="BAO12" s="193"/>
      <c r="BAP12" s="193"/>
      <c r="BAQ12" s="193"/>
      <c r="BAR12" s="193"/>
      <c r="BAS12" s="193"/>
      <c r="BAT12" s="193"/>
      <c r="BAU12" s="193"/>
      <c r="BAV12" s="193"/>
      <c r="BAW12" s="193"/>
      <c r="BAX12" s="193"/>
      <c r="BAY12" s="193"/>
      <c r="BAZ12" s="193"/>
      <c r="BBA12" s="193"/>
      <c r="BBB12" s="193"/>
      <c r="BBC12" s="193"/>
      <c r="BBD12" s="193"/>
      <c r="BBE12" s="193"/>
      <c r="BBF12" s="193"/>
      <c r="BBG12" s="193"/>
      <c r="BBH12" s="193"/>
      <c r="BBI12" s="193"/>
      <c r="BBJ12" s="193"/>
      <c r="BBK12" s="193"/>
      <c r="BBL12" s="193"/>
      <c r="BBM12" s="193"/>
      <c r="BBN12" s="193"/>
      <c r="BBO12" s="193"/>
      <c r="BBP12" s="193"/>
      <c r="BBQ12" s="193"/>
      <c r="BBR12" s="193"/>
      <c r="BBS12" s="193"/>
      <c r="BBT12" s="193"/>
      <c r="BBU12" s="193"/>
      <c r="BBV12" s="193"/>
      <c r="BBW12" s="193"/>
      <c r="BBX12" s="193"/>
      <c r="BBY12" s="193"/>
      <c r="BBZ12" s="193"/>
      <c r="BCA12" s="193"/>
      <c r="BCB12" s="193"/>
      <c r="BCC12" s="193"/>
      <c r="BCD12" s="193"/>
      <c r="BCE12" s="193"/>
      <c r="BCF12" s="193"/>
      <c r="BCG12" s="193"/>
      <c r="BCH12" s="193"/>
      <c r="BCI12" s="193"/>
      <c r="BCJ12" s="193"/>
      <c r="BCK12" s="193"/>
      <c r="BCL12" s="193"/>
      <c r="BCM12" s="193"/>
      <c r="BCN12" s="193"/>
      <c r="BCO12" s="193"/>
      <c r="BCP12" s="193" t="s">
        <v>44</v>
      </c>
      <c r="BCQ12" s="193"/>
      <c r="BCR12" s="193"/>
      <c r="BCS12" s="193"/>
      <c r="BCT12" s="193"/>
      <c r="BCU12" s="193"/>
      <c r="BCV12" s="193"/>
      <c r="BCW12" s="193"/>
      <c r="BCX12" s="193"/>
      <c r="BCY12" s="193"/>
      <c r="BCZ12" s="193"/>
      <c r="BDA12" s="193"/>
      <c r="BDB12" s="193"/>
      <c r="BDC12" s="193"/>
      <c r="BDD12" s="193"/>
      <c r="BDE12" s="193"/>
      <c r="BDF12" s="193"/>
      <c r="BDG12" s="193"/>
      <c r="BDH12" s="193"/>
      <c r="BDI12" s="193"/>
      <c r="BDJ12" s="193"/>
      <c r="BDK12" s="193"/>
      <c r="BDL12" s="193"/>
      <c r="BDM12" s="193"/>
      <c r="BDN12" s="193"/>
      <c r="BDO12" s="193"/>
      <c r="BDP12" s="193"/>
      <c r="BDQ12" s="193"/>
      <c r="BDR12" s="193"/>
      <c r="BDS12" s="193"/>
      <c r="BDT12" s="193"/>
      <c r="BDU12" s="193"/>
      <c r="BDV12" s="193"/>
      <c r="BDW12" s="193"/>
      <c r="BDX12" s="193"/>
      <c r="BDY12" s="193"/>
      <c r="BDZ12" s="193"/>
      <c r="BEA12" s="193"/>
      <c r="BEB12" s="193"/>
      <c r="BEC12" s="193"/>
      <c r="BED12" s="193"/>
      <c r="BEE12" s="193"/>
      <c r="BEF12" s="193"/>
      <c r="BEG12" s="193"/>
      <c r="BEH12" s="193"/>
      <c r="BEI12" s="193"/>
      <c r="BEJ12" s="193"/>
      <c r="BEK12" s="193"/>
      <c r="BEL12" s="193"/>
      <c r="BEM12" s="193"/>
      <c r="BEN12" s="193"/>
      <c r="BEO12" s="193"/>
      <c r="BEP12" s="193"/>
      <c r="BEQ12" s="193"/>
      <c r="BER12" s="193"/>
      <c r="BES12" s="193"/>
      <c r="BET12" s="193"/>
      <c r="BEU12" s="193"/>
      <c r="BEV12" s="193"/>
      <c r="BEW12" s="193"/>
      <c r="BEX12" s="193" t="s">
        <v>45</v>
      </c>
      <c r="BEY12" s="193"/>
      <c r="BEZ12" s="193"/>
      <c r="BFA12" s="193"/>
      <c r="BFB12" s="193"/>
      <c r="BFC12" s="193"/>
      <c r="BFD12" s="193"/>
      <c r="BFE12" s="193"/>
      <c r="BFF12" s="193"/>
      <c r="BFG12" s="193"/>
      <c r="BFH12" s="193"/>
      <c r="BFI12" s="193"/>
      <c r="BFJ12" s="193"/>
      <c r="BFK12" s="193"/>
      <c r="BFL12" s="193"/>
      <c r="BFM12" s="193"/>
      <c r="BFN12" s="193"/>
      <c r="BFO12" s="193"/>
      <c r="BFP12" s="193"/>
      <c r="BFQ12" s="193"/>
      <c r="BFR12" s="193"/>
      <c r="BFS12" s="193"/>
      <c r="BFT12" s="193"/>
      <c r="BFU12" s="193"/>
      <c r="BFV12" s="193"/>
      <c r="BFW12" s="193"/>
      <c r="BFX12" s="193"/>
      <c r="BFY12" s="193"/>
      <c r="BFZ12" s="193"/>
      <c r="BGA12" s="193"/>
      <c r="BGB12" s="193"/>
      <c r="BGC12" s="193"/>
      <c r="BGD12" s="193"/>
      <c r="BGE12" s="193"/>
      <c r="BGF12" s="193"/>
      <c r="BGG12" s="193"/>
      <c r="BGH12" s="193"/>
      <c r="BGI12" s="193"/>
      <c r="BGJ12" s="193"/>
      <c r="BGK12" s="193"/>
      <c r="BGL12" s="193"/>
      <c r="BGM12" s="193"/>
      <c r="BGN12" s="193"/>
      <c r="BGO12" s="193"/>
      <c r="BGP12" s="193"/>
      <c r="BGQ12" s="193"/>
      <c r="BGR12" s="193"/>
      <c r="BGS12" s="193"/>
      <c r="BGT12" s="193"/>
      <c r="BGU12" s="193"/>
      <c r="BGV12" s="193"/>
      <c r="BGW12" s="193"/>
      <c r="BGX12" s="193"/>
      <c r="BGY12" s="193"/>
      <c r="BGZ12" s="193"/>
      <c r="BHA12" s="193"/>
      <c r="BHB12" s="193"/>
      <c r="BHC12" s="193"/>
      <c r="BHD12" s="193"/>
      <c r="BHE12" s="193"/>
      <c r="BHF12" s="90"/>
    </row>
    <row r="13" spans="1:1866" ht="42.75" customHeight="1" thickBot="1" x14ac:dyDescent="0.3">
      <c r="B13" s="96"/>
      <c r="C13" s="209" t="s">
        <v>7</v>
      </c>
      <c r="D13" s="144"/>
      <c r="E13" s="211" t="s">
        <v>40</v>
      </c>
      <c r="F13" s="194" t="s">
        <v>8</v>
      </c>
      <c r="G13" s="195"/>
      <c r="H13" s="195"/>
      <c r="I13" s="195"/>
      <c r="J13" s="195"/>
      <c r="K13" s="195"/>
      <c r="L13" s="195"/>
      <c r="M13" s="195"/>
      <c r="N13" s="195"/>
      <c r="O13" s="195"/>
      <c r="P13" s="195"/>
      <c r="Q13" s="195"/>
      <c r="R13" s="195"/>
      <c r="S13" s="195"/>
      <c r="T13" s="195"/>
      <c r="U13" s="195"/>
      <c r="V13" s="195"/>
      <c r="W13" s="195"/>
      <c r="X13" s="195"/>
      <c r="Y13" s="195"/>
      <c r="Z13" s="195"/>
      <c r="AA13" s="195"/>
      <c r="AB13" s="195"/>
      <c r="AC13" s="195"/>
      <c r="AD13" s="195"/>
      <c r="AE13" s="195"/>
      <c r="AF13" s="195"/>
      <c r="AG13" s="195"/>
      <c r="AH13" s="195"/>
      <c r="AI13" s="195"/>
      <c r="AJ13" s="195"/>
      <c r="AK13" s="195"/>
      <c r="AL13" s="195"/>
      <c r="AM13" s="195"/>
      <c r="AN13" s="195"/>
      <c r="AO13" s="195"/>
      <c r="AP13" s="195"/>
      <c r="AQ13" s="195"/>
      <c r="AR13" s="195"/>
      <c r="AS13" s="195"/>
      <c r="AT13" s="195"/>
      <c r="AU13" s="195"/>
      <c r="AV13" s="195"/>
      <c r="AW13" s="195"/>
      <c r="AX13" s="195"/>
      <c r="AY13" s="195"/>
      <c r="AZ13" s="195"/>
      <c r="BA13" s="195"/>
      <c r="BB13" s="195"/>
      <c r="BC13" s="195"/>
      <c r="BD13" s="195"/>
      <c r="BE13" s="195"/>
      <c r="BF13" s="195"/>
      <c r="BG13" s="195"/>
      <c r="BH13" s="195"/>
      <c r="BI13" s="195"/>
      <c r="BJ13" s="195"/>
      <c r="BK13" s="195"/>
      <c r="BL13" s="195"/>
      <c r="BM13" s="196"/>
      <c r="BN13" s="194" t="s">
        <v>28</v>
      </c>
      <c r="BO13" s="195"/>
      <c r="BP13" s="195"/>
      <c r="BQ13" s="195"/>
      <c r="BR13" s="195"/>
      <c r="BS13" s="195"/>
      <c r="BT13" s="195"/>
      <c r="BU13" s="195"/>
      <c r="BV13" s="195"/>
      <c r="BW13" s="195"/>
      <c r="BX13" s="195"/>
      <c r="BY13" s="195"/>
      <c r="BZ13" s="195"/>
      <c r="CA13" s="195"/>
      <c r="CB13" s="195"/>
      <c r="CC13" s="195"/>
      <c r="CD13" s="195"/>
      <c r="CE13" s="195"/>
      <c r="CF13" s="195"/>
      <c r="CG13" s="195"/>
      <c r="CH13" s="195"/>
      <c r="CI13" s="195"/>
      <c r="CJ13" s="195"/>
      <c r="CK13" s="195"/>
      <c r="CL13" s="195"/>
      <c r="CM13" s="195"/>
      <c r="CN13" s="195"/>
      <c r="CO13" s="195"/>
      <c r="CP13" s="195"/>
      <c r="CQ13" s="195"/>
      <c r="CR13" s="195"/>
      <c r="CS13" s="195"/>
      <c r="CT13" s="195"/>
      <c r="CU13" s="195"/>
      <c r="CV13" s="195"/>
      <c r="CW13" s="195"/>
      <c r="CX13" s="195"/>
      <c r="CY13" s="195"/>
      <c r="CZ13" s="195"/>
      <c r="DA13" s="195"/>
      <c r="DB13" s="195"/>
      <c r="DC13" s="195"/>
      <c r="DD13" s="195"/>
      <c r="DE13" s="195"/>
      <c r="DF13" s="195"/>
      <c r="DG13" s="195"/>
      <c r="DH13" s="195"/>
      <c r="DI13" s="195"/>
      <c r="DJ13" s="195"/>
      <c r="DK13" s="195"/>
      <c r="DL13" s="195"/>
      <c r="DM13" s="195"/>
      <c r="DN13" s="195"/>
      <c r="DO13" s="195"/>
      <c r="DP13" s="195"/>
      <c r="DQ13" s="195"/>
      <c r="DR13" s="195"/>
      <c r="DS13" s="195"/>
      <c r="DT13" s="195"/>
      <c r="DU13" s="196"/>
      <c r="DV13" s="194" t="s">
        <v>19</v>
      </c>
      <c r="DW13" s="195"/>
      <c r="DX13" s="195"/>
      <c r="DY13" s="195"/>
      <c r="DZ13" s="195"/>
      <c r="EA13" s="195"/>
      <c r="EB13" s="195"/>
      <c r="EC13" s="195"/>
      <c r="ED13" s="195"/>
      <c r="EE13" s="195"/>
      <c r="EF13" s="195"/>
      <c r="EG13" s="195"/>
      <c r="EH13" s="195"/>
      <c r="EI13" s="195"/>
      <c r="EJ13" s="195"/>
      <c r="EK13" s="195"/>
      <c r="EL13" s="195"/>
      <c r="EM13" s="195"/>
      <c r="EN13" s="195"/>
      <c r="EO13" s="195"/>
      <c r="EP13" s="195"/>
      <c r="EQ13" s="195"/>
      <c r="ER13" s="195"/>
      <c r="ES13" s="195"/>
      <c r="ET13" s="195"/>
      <c r="EU13" s="195"/>
      <c r="EV13" s="195"/>
      <c r="EW13" s="195"/>
      <c r="EX13" s="195"/>
      <c r="EY13" s="195"/>
      <c r="EZ13" s="195"/>
      <c r="FA13" s="195"/>
      <c r="FB13" s="195"/>
      <c r="FC13" s="195"/>
      <c r="FD13" s="195"/>
      <c r="FE13" s="195"/>
      <c r="FF13" s="195"/>
      <c r="FG13" s="195"/>
      <c r="FH13" s="195"/>
      <c r="FI13" s="195"/>
      <c r="FJ13" s="195"/>
      <c r="FK13" s="195"/>
      <c r="FL13" s="195"/>
      <c r="FM13" s="195"/>
      <c r="FN13" s="195"/>
      <c r="FO13" s="195"/>
      <c r="FP13" s="195"/>
      <c r="FQ13" s="195"/>
      <c r="FR13" s="195"/>
      <c r="FS13" s="195"/>
      <c r="FT13" s="195"/>
      <c r="FU13" s="195"/>
      <c r="FV13" s="195"/>
      <c r="FW13" s="195"/>
      <c r="FX13" s="195"/>
      <c r="FY13" s="195"/>
      <c r="FZ13" s="195"/>
      <c r="GA13" s="195"/>
      <c r="GB13" s="195"/>
      <c r="GC13" s="196"/>
      <c r="GD13" s="194" t="s">
        <v>43</v>
      </c>
      <c r="GE13" s="195"/>
      <c r="GF13" s="195"/>
      <c r="GG13" s="195"/>
      <c r="GH13" s="195"/>
      <c r="GI13" s="195"/>
      <c r="GJ13" s="195"/>
      <c r="GK13" s="195"/>
      <c r="GL13" s="195"/>
      <c r="GM13" s="195"/>
      <c r="GN13" s="195"/>
      <c r="GO13" s="195"/>
      <c r="GP13" s="195"/>
      <c r="GQ13" s="195"/>
      <c r="GR13" s="195"/>
      <c r="GS13" s="195"/>
      <c r="GT13" s="195"/>
      <c r="GU13" s="195"/>
      <c r="GV13" s="195"/>
      <c r="GW13" s="195"/>
      <c r="GX13" s="195"/>
      <c r="GY13" s="195"/>
      <c r="GZ13" s="195"/>
      <c r="HA13" s="195"/>
      <c r="HB13" s="195"/>
      <c r="HC13" s="195"/>
      <c r="HD13" s="195"/>
      <c r="HE13" s="195"/>
      <c r="HF13" s="195"/>
      <c r="HG13" s="195"/>
      <c r="HH13" s="195"/>
      <c r="HI13" s="195"/>
      <c r="HJ13" s="195"/>
      <c r="HK13" s="195"/>
      <c r="HL13" s="195"/>
      <c r="HM13" s="195"/>
      <c r="HN13" s="195"/>
      <c r="HO13" s="195"/>
      <c r="HP13" s="195"/>
      <c r="HQ13" s="195"/>
      <c r="HR13" s="195"/>
      <c r="HS13" s="195"/>
      <c r="HT13" s="195"/>
      <c r="HU13" s="195"/>
      <c r="HV13" s="195"/>
      <c r="HW13" s="195"/>
      <c r="HX13" s="195"/>
      <c r="HY13" s="195"/>
      <c r="HZ13" s="195"/>
      <c r="IA13" s="195"/>
      <c r="IB13" s="195"/>
      <c r="IC13" s="195"/>
      <c r="ID13" s="195"/>
      <c r="IE13" s="195"/>
      <c r="IF13" s="195"/>
      <c r="IG13" s="195"/>
      <c r="IH13" s="195"/>
      <c r="II13" s="195"/>
      <c r="IJ13" s="195"/>
      <c r="IK13" s="196"/>
      <c r="IL13" s="194" t="s">
        <v>72</v>
      </c>
      <c r="IM13" s="195"/>
      <c r="IN13" s="195"/>
      <c r="IO13" s="195"/>
      <c r="IP13" s="195"/>
      <c r="IQ13" s="195"/>
      <c r="IR13" s="195"/>
      <c r="IS13" s="195"/>
      <c r="IT13" s="195"/>
      <c r="IU13" s="195"/>
      <c r="IV13" s="195"/>
      <c r="IW13" s="195"/>
      <c r="IX13" s="195"/>
      <c r="IY13" s="195"/>
      <c r="IZ13" s="195"/>
      <c r="JA13" s="195"/>
      <c r="JB13" s="195"/>
      <c r="JC13" s="195"/>
      <c r="JD13" s="195"/>
      <c r="JE13" s="195"/>
      <c r="JF13" s="195"/>
      <c r="JG13" s="195"/>
      <c r="JH13" s="195"/>
      <c r="JI13" s="195"/>
      <c r="JJ13" s="195"/>
      <c r="JK13" s="195"/>
      <c r="JL13" s="195"/>
      <c r="JM13" s="195"/>
      <c r="JN13" s="195"/>
      <c r="JO13" s="195"/>
      <c r="JP13" s="195"/>
      <c r="JQ13" s="195"/>
      <c r="JR13" s="195"/>
      <c r="JS13" s="195"/>
      <c r="JT13" s="195"/>
      <c r="JU13" s="195"/>
      <c r="JV13" s="195"/>
      <c r="JW13" s="195"/>
      <c r="JX13" s="195"/>
      <c r="JY13" s="195"/>
      <c r="JZ13" s="195"/>
      <c r="KA13" s="195"/>
      <c r="KB13" s="195"/>
      <c r="KC13" s="195"/>
      <c r="KD13" s="195"/>
      <c r="KE13" s="195"/>
      <c r="KF13" s="195"/>
      <c r="KG13" s="195"/>
      <c r="KH13" s="195"/>
      <c r="KI13" s="195"/>
      <c r="KJ13" s="195"/>
      <c r="KK13" s="195"/>
      <c r="KL13" s="195"/>
      <c r="KM13" s="195"/>
      <c r="KN13" s="195"/>
      <c r="KO13" s="195"/>
      <c r="KP13" s="195"/>
      <c r="KQ13" s="195"/>
      <c r="KR13" s="195"/>
      <c r="KS13" s="196"/>
      <c r="KT13" s="194" t="s">
        <v>71</v>
      </c>
      <c r="KU13" s="195"/>
      <c r="KV13" s="195"/>
      <c r="KW13" s="195"/>
      <c r="KX13" s="195"/>
      <c r="KY13" s="195"/>
      <c r="KZ13" s="195"/>
      <c r="LA13" s="195"/>
      <c r="LB13" s="195"/>
      <c r="LC13" s="195"/>
      <c r="LD13" s="195"/>
      <c r="LE13" s="195"/>
      <c r="LF13" s="195"/>
      <c r="LG13" s="195"/>
      <c r="LH13" s="195"/>
      <c r="LI13" s="195"/>
      <c r="LJ13" s="195"/>
      <c r="LK13" s="195"/>
      <c r="LL13" s="195"/>
      <c r="LM13" s="195"/>
      <c r="LN13" s="195"/>
      <c r="LO13" s="195"/>
      <c r="LP13" s="195"/>
      <c r="LQ13" s="195"/>
      <c r="LR13" s="195"/>
      <c r="LS13" s="195"/>
      <c r="LT13" s="195"/>
      <c r="LU13" s="195"/>
      <c r="LV13" s="195"/>
      <c r="LW13" s="195"/>
      <c r="LX13" s="195"/>
      <c r="LY13" s="195"/>
      <c r="LZ13" s="195"/>
      <c r="MA13" s="195"/>
      <c r="MB13" s="195"/>
      <c r="MC13" s="195"/>
      <c r="MD13" s="195"/>
      <c r="ME13" s="195"/>
      <c r="MF13" s="195"/>
      <c r="MG13" s="195"/>
      <c r="MH13" s="195"/>
      <c r="MI13" s="195"/>
      <c r="MJ13" s="195"/>
      <c r="MK13" s="195"/>
      <c r="ML13" s="195"/>
      <c r="MM13" s="195"/>
      <c r="MN13" s="195"/>
      <c r="MO13" s="195"/>
      <c r="MP13" s="195"/>
      <c r="MQ13" s="195"/>
      <c r="MR13" s="195"/>
      <c r="MS13" s="195"/>
      <c r="MT13" s="195"/>
      <c r="MU13" s="195"/>
      <c r="MV13" s="195"/>
      <c r="MW13" s="195"/>
      <c r="MX13" s="195"/>
      <c r="MY13" s="195"/>
      <c r="MZ13" s="195"/>
      <c r="NA13" s="196"/>
      <c r="NB13" s="194" t="s">
        <v>70</v>
      </c>
      <c r="NC13" s="195"/>
      <c r="ND13" s="195"/>
      <c r="NE13" s="195"/>
      <c r="NF13" s="195"/>
      <c r="NG13" s="195"/>
      <c r="NH13" s="195"/>
      <c r="NI13" s="195"/>
      <c r="NJ13" s="195"/>
      <c r="NK13" s="195"/>
      <c r="NL13" s="195"/>
      <c r="NM13" s="195"/>
      <c r="NN13" s="195"/>
      <c r="NO13" s="195"/>
      <c r="NP13" s="195"/>
      <c r="NQ13" s="195"/>
      <c r="NR13" s="195"/>
      <c r="NS13" s="195"/>
      <c r="NT13" s="195"/>
      <c r="NU13" s="195"/>
      <c r="NV13" s="195"/>
      <c r="NW13" s="195"/>
      <c r="NX13" s="195"/>
      <c r="NY13" s="195"/>
      <c r="NZ13" s="195"/>
      <c r="OA13" s="195"/>
      <c r="OB13" s="195"/>
      <c r="OC13" s="195"/>
      <c r="OD13" s="195"/>
      <c r="OE13" s="195"/>
      <c r="OF13" s="195"/>
      <c r="OG13" s="195"/>
      <c r="OH13" s="195"/>
      <c r="OI13" s="195"/>
      <c r="OJ13" s="195"/>
      <c r="OK13" s="195"/>
      <c r="OL13" s="195"/>
      <c r="OM13" s="195"/>
      <c r="ON13" s="195"/>
      <c r="OO13" s="195"/>
      <c r="OP13" s="195"/>
      <c r="OQ13" s="195"/>
      <c r="OR13" s="195"/>
      <c r="OS13" s="195"/>
      <c r="OT13" s="195"/>
      <c r="OU13" s="195"/>
      <c r="OV13" s="195"/>
      <c r="OW13" s="195"/>
      <c r="OX13" s="195"/>
      <c r="OY13" s="195"/>
      <c r="OZ13" s="195"/>
      <c r="PA13" s="195"/>
      <c r="PB13" s="195"/>
      <c r="PC13" s="195"/>
      <c r="PD13" s="195"/>
      <c r="PE13" s="195"/>
      <c r="PF13" s="195"/>
      <c r="PG13" s="195"/>
      <c r="PH13" s="195"/>
      <c r="PI13" s="196"/>
      <c r="PJ13" s="194" t="s">
        <v>69</v>
      </c>
      <c r="PK13" s="195"/>
      <c r="PL13" s="195"/>
      <c r="PM13" s="195"/>
      <c r="PN13" s="195"/>
      <c r="PO13" s="195"/>
      <c r="PP13" s="195"/>
      <c r="PQ13" s="195"/>
      <c r="PR13" s="195"/>
      <c r="PS13" s="195"/>
      <c r="PT13" s="195"/>
      <c r="PU13" s="195"/>
      <c r="PV13" s="195"/>
      <c r="PW13" s="195"/>
      <c r="PX13" s="195"/>
      <c r="PY13" s="195"/>
      <c r="PZ13" s="195"/>
      <c r="QA13" s="195"/>
      <c r="QB13" s="195"/>
      <c r="QC13" s="195"/>
      <c r="QD13" s="195"/>
      <c r="QE13" s="195"/>
      <c r="QF13" s="195"/>
      <c r="QG13" s="195"/>
      <c r="QH13" s="195"/>
      <c r="QI13" s="195"/>
      <c r="QJ13" s="195"/>
      <c r="QK13" s="195"/>
      <c r="QL13" s="195"/>
      <c r="QM13" s="195"/>
      <c r="QN13" s="195"/>
      <c r="QO13" s="195"/>
      <c r="QP13" s="195"/>
      <c r="QQ13" s="195"/>
      <c r="QR13" s="195"/>
      <c r="QS13" s="195"/>
      <c r="QT13" s="195"/>
      <c r="QU13" s="195"/>
      <c r="QV13" s="195"/>
      <c r="QW13" s="195"/>
      <c r="QX13" s="195"/>
      <c r="QY13" s="195"/>
      <c r="QZ13" s="195"/>
      <c r="RA13" s="195"/>
      <c r="RB13" s="195"/>
      <c r="RC13" s="195"/>
      <c r="RD13" s="195"/>
      <c r="RE13" s="195"/>
      <c r="RF13" s="195"/>
      <c r="RG13" s="195"/>
      <c r="RH13" s="195"/>
      <c r="RI13" s="195"/>
      <c r="RJ13" s="195"/>
      <c r="RK13" s="195"/>
      <c r="RL13" s="195"/>
      <c r="RM13" s="195"/>
      <c r="RN13" s="195"/>
      <c r="RO13" s="195"/>
      <c r="RP13" s="195"/>
      <c r="RQ13" s="196"/>
      <c r="RR13" s="194" t="s">
        <v>68</v>
      </c>
      <c r="RS13" s="195"/>
      <c r="RT13" s="195"/>
      <c r="RU13" s="195"/>
      <c r="RV13" s="195"/>
      <c r="RW13" s="195"/>
      <c r="RX13" s="195"/>
      <c r="RY13" s="195"/>
      <c r="RZ13" s="195"/>
      <c r="SA13" s="195"/>
      <c r="SB13" s="195"/>
      <c r="SC13" s="195"/>
      <c r="SD13" s="195"/>
      <c r="SE13" s="195"/>
      <c r="SF13" s="195"/>
      <c r="SG13" s="195"/>
      <c r="SH13" s="195"/>
      <c r="SI13" s="195"/>
      <c r="SJ13" s="195"/>
      <c r="SK13" s="195"/>
      <c r="SL13" s="195"/>
      <c r="SM13" s="195"/>
      <c r="SN13" s="195"/>
      <c r="SO13" s="195"/>
      <c r="SP13" s="195"/>
      <c r="SQ13" s="195"/>
      <c r="SR13" s="195"/>
      <c r="SS13" s="195"/>
      <c r="ST13" s="195"/>
      <c r="SU13" s="195"/>
      <c r="SV13" s="195"/>
      <c r="SW13" s="195"/>
      <c r="SX13" s="195"/>
      <c r="SY13" s="195"/>
      <c r="SZ13" s="195"/>
      <c r="TA13" s="195"/>
      <c r="TB13" s="195"/>
      <c r="TC13" s="195"/>
      <c r="TD13" s="195"/>
      <c r="TE13" s="195"/>
      <c r="TF13" s="195"/>
      <c r="TG13" s="195"/>
      <c r="TH13" s="195"/>
      <c r="TI13" s="195"/>
      <c r="TJ13" s="195"/>
      <c r="TK13" s="195"/>
      <c r="TL13" s="195"/>
      <c r="TM13" s="195"/>
      <c r="TN13" s="195"/>
      <c r="TO13" s="195"/>
      <c r="TP13" s="195"/>
      <c r="TQ13" s="195"/>
      <c r="TR13" s="195"/>
      <c r="TS13" s="195"/>
      <c r="TT13" s="195"/>
      <c r="TU13" s="195"/>
      <c r="TV13" s="195"/>
      <c r="TW13" s="195"/>
      <c r="TX13" s="195"/>
      <c r="TY13" s="196"/>
      <c r="TZ13" s="194" t="s">
        <v>67</v>
      </c>
      <c r="UA13" s="195"/>
      <c r="UB13" s="195"/>
      <c r="UC13" s="195"/>
      <c r="UD13" s="195"/>
      <c r="UE13" s="195"/>
      <c r="UF13" s="195"/>
      <c r="UG13" s="195"/>
      <c r="UH13" s="195"/>
      <c r="UI13" s="195"/>
      <c r="UJ13" s="195"/>
      <c r="UK13" s="195"/>
      <c r="UL13" s="195"/>
      <c r="UM13" s="195"/>
      <c r="UN13" s="195"/>
      <c r="UO13" s="195"/>
      <c r="UP13" s="195"/>
      <c r="UQ13" s="195"/>
      <c r="UR13" s="195"/>
      <c r="US13" s="195"/>
      <c r="UT13" s="195"/>
      <c r="UU13" s="195"/>
      <c r="UV13" s="195"/>
      <c r="UW13" s="195"/>
      <c r="UX13" s="195"/>
      <c r="UY13" s="195"/>
      <c r="UZ13" s="195"/>
      <c r="VA13" s="195"/>
      <c r="VB13" s="195"/>
      <c r="VC13" s="195"/>
      <c r="VD13" s="195"/>
      <c r="VE13" s="195"/>
      <c r="VF13" s="195"/>
      <c r="VG13" s="195"/>
      <c r="VH13" s="195"/>
      <c r="VI13" s="195"/>
      <c r="VJ13" s="195"/>
      <c r="VK13" s="195"/>
      <c r="VL13" s="195"/>
      <c r="VM13" s="195"/>
      <c r="VN13" s="195"/>
      <c r="VO13" s="195"/>
      <c r="VP13" s="195"/>
      <c r="VQ13" s="195"/>
      <c r="VR13" s="195"/>
      <c r="VS13" s="195"/>
      <c r="VT13" s="195"/>
      <c r="VU13" s="195"/>
      <c r="VV13" s="195"/>
      <c r="VW13" s="195"/>
      <c r="VX13" s="195"/>
      <c r="VY13" s="195"/>
      <c r="VZ13" s="195"/>
      <c r="WA13" s="195"/>
      <c r="WB13" s="195"/>
      <c r="WC13" s="195"/>
      <c r="WD13" s="195"/>
      <c r="WE13" s="195"/>
      <c r="WF13" s="195"/>
      <c r="WG13" s="196"/>
      <c r="WH13" s="194" t="s">
        <v>66</v>
      </c>
      <c r="WI13" s="195"/>
      <c r="WJ13" s="195"/>
      <c r="WK13" s="195"/>
      <c r="WL13" s="195"/>
      <c r="WM13" s="195"/>
      <c r="WN13" s="195"/>
      <c r="WO13" s="195"/>
      <c r="WP13" s="195"/>
      <c r="WQ13" s="195"/>
      <c r="WR13" s="195"/>
      <c r="WS13" s="195"/>
      <c r="WT13" s="195"/>
      <c r="WU13" s="195"/>
      <c r="WV13" s="195"/>
      <c r="WW13" s="195"/>
      <c r="WX13" s="195"/>
      <c r="WY13" s="195"/>
      <c r="WZ13" s="195"/>
      <c r="XA13" s="195"/>
      <c r="XB13" s="195"/>
      <c r="XC13" s="195"/>
      <c r="XD13" s="195"/>
      <c r="XE13" s="195"/>
      <c r="XF13" s="195"/>
      <c r="XG13" s="195"/>
      <c r="XH13" s="195"/>
      <c r="XI13" s="195"/>
      <c r="XJ13" s="195"/>
      <c r="XK13" s="195"/>
      <c r="XL13" s="195"/>
      <c r="XM13" s="195"/>
      <c r="XN13" s="195"/>
      <c r="XO13" s="195"/>
      <c r="XP13" s="195"/>
      <c r="XQ13" s="195"/>
      <c r="XR13" s="195"/>
      <c r="XS13" s="195"/>
      <c r="XT13" s="195"/>
      <c r="XU13" s="195"/>
      <c r="XV13" s="195"/>
      <c r="XW13" s="195"/>
      <c r="XX13" s="195"/>
      <c r="XY13" s="195"/>
      <c r="XZ13" s="195"/>
      <c r="YA13" s="195"/>
      <c r="YB13" s="195"/>
      <c r="YC13" s="195"/>
      <c r="YD13" s="195"/>
      <c r="YE13" s="195"/>
      <c r="YF13" s="195"/>
      <c r="YG13" s="195"/>
      <c r="YH13" s="195"/>
      <c r="YI13" s="195"/>
      <c r="YJ13" s="195"/>
      <c r="YK13" s="195"/>
      <c r="YL13" s="195"/>
      <c r="YM13" s="195"/>
      <c r="YN13" s="195"/>
      <c r="YO13" s="196"/>
      <c r="YP13" s="194" t="s">
        <v>65</v>
      </c>
      <c r="YQ13" s="195"/>
      <c r="YR13" s="195"/>
      <c r="YS13" s="195"/>
      <c r="YT13" s="195"/>
      <c r="YU13" s="195"/>
      <c r="YV13" s="195"/>
      <c r="YW13" s="195"/>
      <c r="YX13" s="195"/>
      <c r="YY13" s="195"/>
      <c r="YZ13" s="195"/>
      <c r="ZA13" s="195"/>
      <c r="ZB13" s="195"/>
      <c r="ZC13" s="195"/>
      <c r="ZD13" s="195"/>
      <c r="ZE13" s="195"/>
      <c r="ZF13" s="195"/>
      <c r="ZG13" s="195"/>
      <c r="ZH13" s="195"/>
      <c r="ZI13" s="195"/>
      <c r="ZJ13" s="195"/>
      <c r="ZK13" s="195"/>
      <c r="ZL13" s="195"/>
      <c r="ZM13" s="195"/>
      <c r="ZN13" s="195"/>
      <c r="ZO13" s="195"/>
      <c r="ZP13" s="195"/>
      <c r="ZQ13" s="195"/>
      <c r="ZR13" s="195"/>
      <c r="ZS13" s="195"/>
      <c r="ZT13" s="195"/>
      <c r="ZU13" s="195"/>
      <c r="ZV13" s="195"/>
      <c r="ZW13" s="195"/>
      <c r="ZX13" s="195"/>
      <c r="ZY13" s="195"/>
      <c r="ZZ13" s="195"/>
      <c r="AAA13" s="195"/>
      <c r="AAB13" s="195"/>
      <c r="AAC13" s="195"/>
      <c r="AAD13" s="195"/>
      <c r="AAE13" s="195"/>
      <c r="AAF13" s="195"/>
      <c r="AAG13" s="195"/>
      <c r="AAH13" s="195"/>
      <c r="AAI13" s="195"/>
      <c r="AAJ13" s="195"/>
      <c r="AAK13" s="195"/>
      <c r="AAL13" s="195"/>
      <c r="AAM13" s="195"/>
      <c r="AAN13" s="195"/>
      <c r="AAO13" s="195"/>
      <c r="AAP13" s="195"/>
      <c r="AAQ13" s="195"/>
      <c r="AAR13" s="195"/>
      <c r="AAS13" s="195"/>
      <c r="AAT13" s="195"/>
      <c r="AAU13" s="195"/>
      <c r="AAV13" s="195"/>
      <c r="AAW13" s="196"/>
      <c r="AAX13" s="194" t="s">
        <v>64</v>
      </c>
      <c r="AAY13" s="195"/>
      <c r="AAZ13" s="195"/>
      <c r="ABA13" s="195"/>
      <c r="ABB13" s="195"/>
      <c r="ABC13" s="195"/>
      <c r="ABD13" s="195"/>
      <c r="ABE13" s="195"/>
      <c r="ABF13" s="195"/>
      <c r="ABG13" s="195"/>
      <c r="ABH13" s="195"/>
      <c r="ABI13" s="195"/>
      <c r="ABJ13" s="195"/>
      <c r="ABK13" s="195"/>
      <c r="ABL13" s="195"/>
      <c r="ABM13" s="195"/>
      <c r="ABN13" s="195"/>
      <c r="ABO13" s="195"/>
      <c r="ABP13" s="195"/>
      <c r="ABQ13" s="195"/>
      <c r="ABR13" s="195"/>
      <c r="ABS13" s="195"/>
      <c r="ABT13" s="195"/>
      <c r="ABU13" s="195"/>
      <c r="ABV13" s="195"/>
      <c r="ABW13" s="195"/>
      <c r="ABX13" s="195"/>
      <c r="ABY13" s="195"/>
      <c r="ABZ13" s="195"/>
      <c r="ACA13" s="195"/>
      <c r="ACB13" s="195"/>
      <c r="ACC13" s="195"/>
      <c r="ACD13" s="195"/>
      <c r="ACE13" s="195"/>
      <c r="ACF13" s="195"/>
      <c r="ACG13" s="195"/>
      <c r="ACH13" s="195"/>
      <c r="ACI13" s="195"/>
      <c r="ACJ13" s="195"/>
      <c r="ACK13" s="195"/>
      <c r="ACL13" s="195"/>
      <c r="ACM13" s="195"/>
      <c r="ACN13" s="195"/>
      <c r="ACO13" s="195"/>
      <c r="ACP13" s="195"/>
      <c r="ACQ13" s="195"/>
      <c r="ACR13" s="195"/>
      <c r="ACS13" s="195"/>
      <c r="ACT13" s="195"/>
      <c r="ACU13" s="195"/>
      <c r="ACV13" s="195"/>
      <c r="ACW13" s="195"/>
      <c r="ACX13" s="195"/>
      <c r="ACY13" s="195"/>
      <c r="ACZ13" s="195"/>
      <c r="ADA13" s="195"/>
      <c r="ADB13" s="195"/>
      <c r="ADC13" s="195"/>
      <c r="ADD13" s="195"/>
      <c r="ADE13" s="196"/>
      <c r="ADF13" s="194" t="s">
        <v>63</v>
      </c>
      <c r="ADG13" s="195"/>
      <c r="ADH13" s="195"/>
      <c r="ADI13" s="195"/>
      <c r="ADJ13" s="195"/>
      <c r="ADK13" s="195"/>
      <c r="ADL13" s="195"/>
      <c r="ADM13" s="195"/>
      <c r="ADN13" s="195"/>
      <c r="ADO13" s="195"/>
      <c r="ADP13" s="195"/>
      <c r="ADQ13" s="195"/>
      <c r="ADR13" s="195"/>
      <c r="ADS13" s="195"/>
      <c r="ADT13" s="195"/>
      <c r="ADU13" s="195"/>
      <c r="ADV13" s="195"/>
      <c r="ADW13" s="195"/>
      <c r="ADX13" s="195"/>
      <c r="ADY13" s="195"/>
      <c r="ADZ13" s="195"/>
      <c r="AEA13" s="195"/>
      <c r="AEB13" s="195"/>
      <c r="AEC13" s="195"/>
      <c r="AED13" s="195"/>
      <c r="AEE13" s="195"/>
      <c r="AEF13" s="195"/>
      <c r="AEG13" s="195"/>
      <c r="AEH13" s="195"/>
      <c r="AEI13" s="195"/>
      <c r="AEJ13" s="195"/>
      <c r="AEK13" s="195"/>
      <c r="AEL13" s="195"/>
      <c r="AEM13" s="195"/>
      <c r="AEN13" s="195"/>
      <c r="AEO13" s="195"/>
      <c r="AEP13" s="195"/>
      <c r="AEQ13" s="195"/>
      <c r="AER13" s="195"/>
      <c r="AES13" s="195"/>
      <c r="AET13" s="195"/>
      <c r="AEU13" s="195"/>
      <c r="AEV13" s="195"/>
      <c r="AEW13" s="195"/>
      <c r="AEX13" s="195"/>
      <c r="AEY13" s="195"/>
      <c r="AEZ13" s="195"/>
      <c r="AFA13" s="195"/>
      <c r="AFB13" s="195"/>
      <c r="AFC13" s="195"/>
      <c r="AFD13" s="195"/>
      <c r="AFE13" s="195"/>
      <c r="AFF13" s="195"/>
      <c r="AFG13" s="195"/>
      <c r="AFH13" s="195"/>
      <c r="AFI13" s="195"/>
      <c r="AFJ13" s="195"/>
      <c r="AFK13" s="195"/>
      <c r="AFL13" s="195"/>
      <c r="AFM13" s="196"/>
      <c r="AFN13" s="194" t="s">
        <v>62</v>
      </c>
      <c r="AFO13" s="195"/>
      <c r="AFP13" s="195"/>
      <c r="AFQ13" s="195"/>
      <c r="AFR13" s="195"/>
      <c r="AFS13" s="195"/>
      <c r="AFT13" s="195"/>
      <c r="AFU13" s="195"/>
      <c r="AFV13" s="195"/>
      <c r="AFW13" s="195"/>
      <c r="AFX13" s="195"/>
      <c r="AFY13" s="195"/>
      <c r="AFZ13" s="195"/>
      <c r="AGA13" s="195"/>
      <c r="AGB13" s="195"/>
      <c r="AGC13" s="195"/>
      <c r="AGD13" s="195"/>
      <c r="AGE13" s="195"/>
      <c r="AGF13" s="195"/>
      <c r="AGG13" s="195"/>
      <c r="AGH13" s="195"/>
      <c r="AGI13" s="195"/>
      <c r="AGJ13" s="195"/>
      <c r="AGK13" s="195"/>
      <c r="AGL13" s="195"/>
      <c r="AGM13" s="195"/>
      <c r="AGN13" s="195"/>
      <c r="AGO13" s="195"/>
      <c r="AGP13" s="195"/>
      <c r="AGQ13" s="195"/>
      <c r="AGR13" s="195"/>
      <c r="AGS13" s="195"/>
      <c r="AGT13" s="195"/>
      <c r="AGU13" s="195"/>
      <c r="AGV13" s="195"/>
      <c r="AGW13" s="195"/>
      <c r="AGX13" s="195"/>
      <c r="AGY13" s="195"/>
      <c r="AGZ13" s="195"/>
      <c r="AHA13" s="195"/>
      <c r="AHB13" s="195"/>
      <c r="AHC13" s="195"/>
      <c r="AHD13" s="195"/>
      <c r="AHE13" s="195"/>
      <c r="AHF13" s="195"/>
      <c r="AHG13" s="195"/>
      <c r="AHH13" s="195"/>
      <c r="AHI13" s="195"/>
      <c r="AHJ13" s="195"/>
      <c r="AHK13" s="195"/>
      <c r="AHL13" s="195"/>
      <c r="AHM13" s="195"/>
      <c r="AHN13" s="195"/>
      <c r="AHO13" s="195"/>
      <c r="AHP13" s="195"/>
      <c r="AHQ13" s="195"/>
      <c r="AHR13" s="195"/>
      <c r="AHS13" s="195"/>
      <c r="AHT13" s="195"/>
      <c r="AHU13" s="196"/>
      <c r="AHV13" s="194" t="s">
        <v>61</v>
      </c>
      <c r="AHW13" s="195"/>
      <c r="AHX13" s="195"/>
      <c r="AHY13" s="195"/>
      <c r="AHZ13" s="195"/>
      <c r="AIA13" s="195"/>
      <c r="AIB13" s="195"/>
      <c r="AIC13" s="195"/>
      <c r="AID13" s="195"/>
      <c r="AIE13" s="195"/>
      <c r="AIF13" s="195"/>
      <c r="AIG13" s="195"/>
      <c r="AIH13" s="195"/>
      <c r="AII13" s="195"/>
      <c r="AIJ13" s="195"/>
      <c r="AIK13" s="195"/>
      <c r="AIL13" s="195"/>
      <c r="AIM13" s="195"/>
      <c r="AIN13" s="195"/>
      <c r="AIO13" s="195"/>
      <c r="AIP13" s="195"/>
      <c r="AIQ13" s="195"/>
      <c r="AIR13" s="195"/>
      <c r="AIS13" s="195"/>
      <c r="AIT13" s="195"/>
      <c r="AIU13" s="195"/>
      <c r="AIV13" s="195"/>
      <c r="AIW13" s="195"/>
      <c r="AIX13" s="195"/>
      <c r="AIY13" s="195"/>
      <c r="AIZ13" s="195"/>
      <c r="AJA13" s="195"/>
      <c r="AJB13" s="195"/>
      <c r="AJC13" s="195"/>
      <c r="AJD13" s="195"/>
      <c r="AJE13" s="195"/>
      <c r="AJF13" s="195"/>
      <c r="AJG13" s="195"/>
      <c r="AJH13" s="195"/>
      <c r="AJI13" s="195"/>
      <c r="AJJ13" s="195"/>
      <c r="AJK13" s="195"/>
      <c r="AJL13" s="195"/>
      <c r="AJM13" s="195"/>
      <c r="AJN13" s="195"/>
      <c r="AJO13" s="195"/>
      <c r="AJP13" s="195"/>
      <c r="AJQ13" s="195"/>
      <c r="AJR13" s="195"/>
      <c r="AJS13" s="195"/>
      <c r="AJT13" s="195"/>
      <c r="AJU13" s="195"/>
      <c r="AJV13" s="195"/>
      <c r="AJW13" s="195"/>
      <c r="AJX13" s="195"/>
      <c r="AJY13" s="195"/>
      <c r="AJZ13" s="195"/>
      <c r="AKA13" s="195"/>
      <c r="AKB13" s="195"/>
      <c r="AKC13" s="196"/>
      <c r="AKD13" s="194" t="s">
        <v>60</v>
      </c>
      <c r="AKE13" s="195"/>
      <c r="AKF13" s="195"/>
      <c r="AKG13" s="195"/>
      <c r="AKH13" s="195"/>
      <c r="AKI13" s="195"/>
      <c r="AKJ13" s="195"/>
      <c r="AKK13" s="195"/>
      <c r="AKL13" s="195"/>
      <c r="AKM13" s="195"/>
      <c r="AKN13" s="195"/>
      <c r="AKO13" s="195"/>
      <c r="AKP13" s="195"/>
      <c r="AKQ13" s="195"/>
      <c r="AKR13" s="195"/>
      <c r="AKS13" s="195"/>
      <c r="AKT13" s="195"/>
      <c r="AKU13" s="195"/>
      <c r="AKV13" s="195"/>
      <c r="AKW13" s="195"/>
      <c r="AKX13" s="195"/>
      <c r="AKY13" s="195"/>
      <c r="AKZ13" s="195"/>
      <c r="ALA13" s="195"/>
      <c r="ALB13" s="195"/>
      <c r="ALC13" s="195"/>
      <c r="ALD13" s="195"/>
      <c r="ALE13" s="195"/>
      <c r="ALF13" s="195"/>
      <c r="ALG13" s="195"/>
      <c r="ALH13" s="195"/>
      <c r="ALI13" s="195"/>
      <c r="ALJ13" s="195"/>
      <c r="ALK13" s="195"/>
      <c r="ALL13" s="195"/>
      <c r="ALM13" s="195"/>
      <c r="ALN13" s="195"/>
      <c r="ALO13" s="195"/>
      <c r="ALP13" s="195"/>
      <c r="ALQ13" s="195"/>
      <c r="ALR13" s="195"/>
      <c r="ALS13" s="195"/>
      <c r="ALT13" s="195"/>
      <c r="ALU13" s="195"/>
      <c r="ALV13" s="195"/>
      <c r="ALW13" s="195"/>
      <c r="ALX13" s="195"/>
      <c r="ALY13" s="195"/>
      <c r="ALZ13" s="195"/>
      <c r="AMA13" s="195"/>
      <c r="AMB13" s="195"/>
      <c r="AMC13" s="195"/>
      <c r="AMD13" s="195"/>
      <c r="AME13" s="195"/>
      <c r="AMF13" s="195"/>
      <c r="AMG13" s="195"/>
      <c r="AMH13" s="195"/>
      <c r="AMI13" s="195"/>
      <c r="AMJ13" s="195"/>
      <c r="AMK13" s="196"/>
      <c r="AML13" s="194" t="s">
        <v>59</v>
      </c>
      <c r="AMM13" s="195"/>
      <c r="AMN13" s="195"/>
      <c r="AMO13" s="195"/>
      <c r="AMP13" s="195"/>
      <c r="AMQ13" s="195"/>
      <c r="AMR13" s="195"/>
      <c r="AMS13" s="195"/>
      <c r="AMT13" s="195"/>
      <c r="AMU13" s="195"/>
      <c r="AMV13" s="195"/>
      <c r="AMW13" s="195"/>
      <c r="AMX13" s="195"/>
      <c r="AMY13" s="195"/>
      <c r="AMZ13" s="195"/>
      <c r="ANA13" s="195"/>
      <c r="ANB13" s="195"/>
      <c r="ANC13" s="195"/>
      <c r="AND13" s="195"/>
      <c r="ANE13" s="195"/>
      <c r="ANF13" s="195"/>
      <c r="ANG13" s="195"/>
      <c r="ANH13" s="195"/>
      <c r="ANI13" s="195"/>
      <c r="ANJ13" s="195"/>
      <c r="ANK13" s="195"/>
      <c r="ANL13" s="195"/>
      <c r="ANM13" s="195"/>
      <c r="ANN13" s="195"/>
      <c r="ANO13" s="195"/>
      <c r="ANP13" s="195"/>
      <c r="ANQ13" s="195"/>
      <c r="ANR13" s="195"/>
      <c r="ANS13" s="195"/>
      <c r="ANT13" s="195"/>
      <c r="ANU13" s="195"/>
      <c r="ANV13" s="195"/>
      <c r="ANW13" s="195"/>
      <c r="ANX13" s="195"/>
      <c r="ANY13" s="195"/>
      <c r="ANZ13" s="195"/>
      <c r="AOA13" s="195"/>
      <c r="AOB13" s="195"/>
      <c r="AOC13" s="195"/>
      <c r="AOD13" s="195"/>
      <c r="AOE13" s="195"/>
      <c r="AOF13" s="195"/>
      <c r="AOG13" s="195"/>
      <c r="AOH13" s="195"/>
      <c r="AOI13" s="195"/>
      <c r="AOJ13" s="195"/>
      <c r="AOK13" s="195"/>
      <c r="AOL13" s="195"/>
      <c r="AOM13" s="195"/>
      <c r="AON13" s="195"/>
      <c r="AOO13" s="195"/>
      <c r="AOP13" s="195"/>
      <c r="AOQ13" s="195"/>
      <c r="AOR13" s="195"/>
      <c r="AOS13" s="196"/>
      <c r="AOT13" s="194" t="s">
        <v>58</v>
      </c>
      <c r="AOU13" s="195"/>
      <c r="AOV13" s="195"/>
      <c r="AOW13" s="195"/>
      <c r="AOX13" s="195"/>
      <c r="AOY13" s="195"/>
      <c r="AOZ13" s="195"/>
      <c r="APA13" s="195"/>
      <c r="APB13" s="195"/>
      <c r="APC13" s="195"/>
      <c r="APD13" s="195"/>
      <c r="APE13" s="195"/>
      <c r="APF13" s="195"/>
      <c r="APG13" s="195"/>
      <c r="APH13" s="195"/>
      <c r="API13" s="195"/>
      <c r="APJ13" s="195"/>
      <c r="APK13" s="195"/>
      <c r="APL13" s="195"/>
      <c r="APM13" s="195"/>
      <c r="APN13" s="195"/>
      <c r="APO13" s="195"/>
      <c r="APP13" s="195"/>
      <c r="APQ13" s="195"/>
      <c r="APR13" s="195"/>
      <c r="APS13" s="195"/>
      <c r="APT13" s="195"/>
      <c r="APU13" s="195"/>
      <c r="APV13" s="195"/>
      <c r="APW13" s="195"/>
      <c r="APX13" s="195"/>
      <c r="APY13" s="195"/>
      <c r="APZ13" s="195"/>
      <c r="AQA13" s="195"/>
      <c r="AQB13" s="195"/>
      <c r="AQC13" s="195"/>
      <c r="AQD13" s="195"/>
      <c r="AQE13" s="195"/>
      <c r="AQF13" s="195"/>
      <c r="AQG13" s="195"/>
      <c r="AQH13" s="195"/>
      <c r="AQI13" s="195"/>
      <c r="AQJ13" s="195"/>
      <c r="AQK13" s="195"/>
      <c r="AQL13" s="195"/>
      <c r="AQM13" s="195"/>
      <c r="AQN13" s="195"/>
      <c r="AQO13" s="195"/>
      <c r="AQP13" s="195"/>
      <c r="AQQ13" s="195"/>
      <c r="AQR13" s="195"/>
      <c r="AQS13" s="195"/>
      <c r="AQT13" s="195"/>
      <c r="AQU13" s="195"/>
      <c r="AQV13" s="195"/>
      <c r="AQW13" s="195"/>
      <c r="AQX13" s="195"/>
      <c r="AQY13" s="195"/>
      <c r="AQZ13" s="195"/>
      <c r="ARA13" s="196"/>
      <c r="ARB13" s="194" t="s">
        <v>57</v>
      </c>
      <c r="ARC13" s="195"/>
      <c r="ARD13" s="195"/>
      <c r="ARE13" s="195"/>
      <c r="ARF13" s="195"/>
      <c r="ARG13" s="195"/>
      <c r="ARH13" s="195"/>
      <c r="ARI13" s="195"/>
      <c r="ARJ13" s="195"/>
      <c r="ARK13" s="195"/>
      <c r="ARL13" s="195"/>
      <c r="ARM13" s="195"/>
      <c r="ARN13" s="195"/>
      <c r="ARO13" s="195"/>
      <c r="ARP13" s="195"/>
      <c r="ARQ13" s="195"/>
      <c r="ARR13" s="195"/>
      <c r="ARS13" s="195"/>
      <c r="ART13" s="195"/>
      <c r="ARU13" s="195"/>
      <c r="ARV13" s="195"/>
      <c r="ARW13" s="195"/>
      <c r="ARX13" s="195"/>
      <c r="ARY13" s="195"/>
      <c r="ARZ13" s="195"/>
      <c r="ASA13" s="195"/>
      <c r="ASB13" s="195"/>
      <c r="ASC13" s="195"/>
      <c r="ASD13" s="195"/>
      <c r="ASE13" s="195"/>
      <c r="ASF13" s="195"/>
      <c r="ASG13" s="195"/>
      <c r="ASH13" s="195"/>
      <c r="ASI13" s="195"/>
      <c r="ASJ13" s="195"/>
      <c r="ASK13" s="195"/>
      <c r="ASL13" s="195"/>
      <c r="ASM13" s="195"/>
      <c r="ASN13" s="195"/>
      <c r="ASO13" s="195"/>
      <c r="ASP13" s="195"/>
      <c r="ASQ13" s="195"/>
      <c r="ASR13" s="195"/>
      <c r="ASS13" s="195"/>
      <c r="AST13" s="195"/>
      <c r="ASU13" s="195"/>
      <c r="ASV13" s="195"/>
      <c r="ASW13" s="195"/>
      <c r="ASX13" s="195"/>
      <c r="ASY13" s="195"/>
      <c r="ASZ13" s="195"/>
      <c r="ATA13" s="195"/>
      <c r="ATB13" s="195"/>
      <c r="ATC13" s="195"/>
      <c r="ATD13" s="195"/>
      <c r="ATE13" s="195"/>
      <c r="ATF13" s="195"/>
      <c r="ATG13" s="195"/>
      <c r="ATH13" s="195"/>
      <c r="ATI13" s="196"/>
      <c r="ATJ13" s="194" t="s">
        <v>56</v>
      </c>
      <c r="ATK13" s="195"/>
      <c r="ATL13" s="195"/>
      <c r="ATM13" s="195"/>
      <c r="ATN13" s="195"/>
      <c r="ATO13" s="195"/>
      <c r="ATP13" s="195"/>
      <c r="ATQ13" s="195"/>
      <c r="ATR13" s="195"/>
      <c r="ATS13" s="195"/>
      <c r="ATT13" s="195"/>
      <c r="ATU13" s="195"/>
      <c r="ATV13" s="195"/>
      <c r="ATW13" s="195"/>
      <c r="ATX13" s="195"/>
      <c r="ATY13" s="195"/>
      <c r="ATZ13" s="195"/>
      <c r="AUA13" s="195"/>
      <c r="AUB13" s="195"/>
      <c r="AUC13" s="195"/>
      <c r="AUD13" s="195"/>
      <c r="AUE13" s="195"/>
      <c r="AUF13" s="195"/>
      <c r="AUG13" s="195"/>
      <c r="AUH13" s="195"/>
      <c r="AUI13" s="195"/>
      <c r="AUJ13" s="195"/>
      <c r="AUK13" s="195"/>
      <c r="AUL13" s="195"/>
      <c r="AUM13" s="195"/>
      <c r="AUN13" s="195"/>
      <c r="AUO13" s="195"/>
      <c r="AUP13" s="195"/>
      <c r="AUQ13" s="195"/>
      <c r="AUR13" s="195"/>
      <c r="AUS13" s="195"/>
      <c r="AUT13" s="195"/>
      <c r="AUU13" s="195"/>
      <c r="AUV13" s="195"/>
      <c r="AUW13" s="195"/>
      <c r="AUX13" s="195"/>
      <c r="AUY13" s="195"/>
      <c r="AUZ13" s="195"/>
      <c r="AVA13" s="195"/>
      <c r="AVB13" s="195"/>
      <c r="AVC13" s="195"/>
      <c r="AVD13" s="195"/>
      <c r="AVE13" s="195"/>
      <c r="AVF13" s="195"/>
      <c r="AVG13" s="195"/>
      <c r="AVH13" s="195"/>
      <c r="AVI13" s="195"/>
      <c r="AVJ13" s="195"/>
      <c r="AVK13" s="195"/>
      <c r="AVL13" s="195"/>
      <c r="AVM13" s="195"/>
      <c r="AVN13" s="195"/>
      <c r="AVO13" s="195"/>
      <c r="AVP13" s="195"/>
      <c r="AVQ13" s="196"/>
      <c r="AVR13" s="194" t="s">
        <v>55</v>
      </c>
      <c r="AVS13" s="195"/>
      <c r="AVT13" s="195"/>
      <c r="AVU13" s="195"/>
      <c r="AVV13" s="195"/>
      <c r="AVW13" s="195"/>
      <c r="AVX13" s="195"/>
      <c r="AVY13" s="195"/>
      <c r="AVZ13" s="195"/>
      <c r="AWA13" s="195"/>
      <c r="AWB13" s="195"/>
      <c r="AWC13" s="195"/>
      <c r="AWD13" s="195"/>
      <c r="AWE13" s="195"/>
      <c r="AWF13" s="195"/>
      <c r="AWG13" s="195"/>
      <c r="AWH13" s="195"/>
      <c r="AWI13" s="195"/>
      <c r="AWJ13" s="195"/>
      <c r="AWK13" s="195"/>
      <c r="AWL13" s="195"/>
      <c r="AWM13" s="195"/>
      <c r="AWN13" s="195"/>
      <c r="AWO13" s="195"/>
      <c r="AWP13" s="195"/>
      <c r="AWQ13" s="195"/>
      <c r="AWR13" s="195"/>
      <c r="AWS13" s="195"/>
      <c r="AWT13" s="195"/>
      <c r="AWU13" s="195"/>
      <c r="AWV13" s="195"/>
      <c r="AWW13" s="195"/>
      <c r="AWX13" s="195"/>
      <c r="AWY13" s="195"/>
      <c r="AWZ13" s="195"/>
      <c r="AXA13" s="195"/>
      <c r="AXB13" s="195"/>
      <c r="AXC13" s="195"/>
      <c r="AXD13" s="195"/>
      <c r="AXE13" s="195"/>
      <c r="AXF13" s="195"/>
      <c r="AXG13" s="195"/>
      <c r="AXH13" s="195"/>
      <c r="AXI13" s="195"/>
      <c r="AXJ13" s="195"/>
      <c r="AXK13" s="195"/>
      <c r="AXL13" s="195"/>
      <c r="AXM13" s="195"/>
      <c r="AXN13" s="195"/>
      <c r="AXO13" s="195"/>
      <c r="AXP13" s="195"/>
      <c r="AXQ13" s="195"/>
      <c r="AXR13" s="195"/>
      <c r="AXS13" s="195"/>
      <c r="AXT13" s="195"/>
      <c r="AXU13" s="195"/>
      <c r="AXV13" s="195"/>
      <c r="AXW13" s="195"/>
      <c r="AXX13" s="195"/>
      <c r="AXY13" s="196"/>
      <c r="AXZ13" s="194" t="s">
        <v>54</v>
      </c>
      <c r="AYA13" s="195"/>
      <c r="AYB13" s="195"/>
      <c r="AYC13" s="195"/>
      <c r="AYD13" s="195"/>
      <c r="AYE13" s="195"/>
      <c r="AYF13" s="195"/>
      <c r="AYG13" s="195"/>
      <c r="AYH13" s="195"/>
      <c r="AYI13" s="195"/>
      <c r="AYJ13" s="195"/>
      <c r="AYK13" s="195"/>
      <c r="AYL13" s="195"/>
      <c r="AYM13" s="195"/>
      <c r="AYN13" s="195"/>
      <c r="AYO13" s="195"/>
      <c r="AYP13" s="195"/>
      <c r="AYQ13" s="195"/>
      <c r="AYR13" s="195"/>
      <c r="AYS13" s="195"/>
      <c r="AYT13" s="195"/>
      <c r="AYU13" s="195"/>
      <c r="AYV13" s="195"/>
      <c r="AYW13" s="195"/>
      <c r="AYX13" s="195"/>
      <c r="AYY13" s="195"/>
      <c r="AYZ13" s="195"/>
      <c r="AZA13" s="195"/>
      <c r="AZB13" s="195"/>
      <c r="AZC13" s="195"/>
      <c r="AZD13" s="195"/>
      <c r="AZE13" s="195"/>
      <c r="AZF13" s="195"/>
      <c r="AZG13" s="195"/>
      <c r="AZH13" s="195"/>
      <c r="AZI13" s="195"/>
      <c r="AZJ13" s="195"/>
      <c r="AZK13" s="195"/>
      <c r="AZL13" s="195"/>
      <c r="AZM13" s="195"/>
      <c r="AZN13" s="195"/>
      <c r="AZO13" s="195"/>
      <c r="AZP13" s="195"/>
      <c r="AZQ13" s="195"/>
      <c r="AZR13" s="195"/>
      <c r="AZS13" s="195"/>
      <c r="AZT13" s="195"/>
      <c r="AZU13" s="195"/>
      <c r="AZV13" s="195"/>
      <c r="AZW13" s="195"/>
      <c r="AZX13" s="195"/>
      <c r="AZY13" s="195"/>
      <c r="AZZ13" s="195"/>
      <c r="BAA13" s="195"/>
      <c r="BAB13" s="195"/>
      <c r="BAC13" s="195"/>
      <c r="BAD13" s="195"/>
      <c r="BAE13" s="195"/>
      <c r="BAF13" s="195"/>
      <c r="BAG13" s="196"/>
      <c r="BAH13" s="194" t="s">
        <v>53</v>
      </c>
      <c r="BAI13" s="195"/>
      <c r="BAJ13" s="195"/>
      <c r="BAK13" s="195"/>
      <c r="BAL13" s="195"/>
      <c r="BAM13" s="195"/>
      <c r="BAN13" s="195"/>
      <c r="BAO13" s="195"/>
      <c r="BAP13" s="195"/>
      <c r="BAQ13" s="195"/>
      <c r="BAR13" s="195"/>
      <c r="BAS13" s="195"/>
      <c r="BAT13" s="195"/>
      <c r="BAU13" s="195"/>
      <c r="BAV13" s="195"/>
      <c r="BAW13" s="195"/>
      <c r="BAX13" s="195"/>
      <c r="BAY13" s="195"/>
      <c r="BAZ13" s="195"/>
      <c r="BBA13" s="195"/>
      <c r="BBB13" s="195"/>
      <c r="BBC13" s="195"/>
      <c r="BBD13" s="195"/>
      <c r="BBE13" s="195"/>
      <c r="BBF13" s="195"/>
      <c r="BBG13" s="195"/>
      <c r="BBH13" s="195"/>
      <c r="BBI13" s="195"/>
      <c r="BBJ13" s="195"/>
      <c r="BBK13" s="195"/>
      <c r="BBL13" s="195"/>
      <c r="BBM13" s="195"/>
      <c r="BBN13" s="195"/>
      <c r="BBO13" s="195"/>
      <c r="BBP13" s="195"/>
      <c r="BBQ13" s="195"/>
      <c r="BBR13" s="195"/>
      <c r="BBS13" s="195"/>
      <c r="BBT13" s="195"/>
      <c r="BBU13" s="195"/>
      <c r="BBV13" s="195"/>
      <c r="BBW13" s="195"/>
      <c r="BBX13" s="195"/>
      <c r="BBY13" s="195"/>
      <c r="BBZ13" s="195"/>
      <c r="BCA13" s="195"/>
      <c r="BCB13" s="195"/>
      <c r="BCC13" s="195"/>
      <c r="BCD13" s="195"/>
      <c r="BCE13" s="195"/>
      <c r="BCF13" s="195"/>
      <c r="BCG13" s="195"/>
      <c r="BCH13" s="195"/>
      <c r="BCI13" s="195"/>
      <c r="BCJ13" s="195"/>
      <c r="BCK13" s="195"/>
      <c r="BCL13" s="195"/>
      <c r="BCM13" s="195"/>
      <c r="BCN13" s="195"/>
      <c r="BCO13" s="196"/>
      <c r="BCP13" s="194" t="s">
        <v>52</v>
      </c>
      <c r="BCQ13" s="195"/>
      <c r="BCR13" s="195"/>
      <c r="BCS13" s="195"/>
      <c r="BCT13" s="195"/>
      <c r="BCU13" s="195"/>
      <c r="BCV13" s="195"/>
      <c r="BCW13" s="195"/>
      <c r="BCX13" s="195"/>
      <c r="BCY13" s="195"/>
      <c r="BCZ13" s="195"/>
      <c r="BDA13" s="195"/>
      <c r="BDB13" s="195"/>
      <c r="BDC13" s="195"/>
      <c r="BDD13" s="195"/>
      <c r="BDE13" s="195"/>
      <c r="BDF13" s="195"/>
      <c r="BDG13" s="195"/>
      <c r="BDH13" s="195"/>
      <c r="BDI13" s="195"/>
      <c r="BDJ13" s="195"/>
      <c r="BDK13" s="195"/>
      <c r="BDL13" s="195"/>
      <c r="BDM13" s="195"/>
      <c r="BDN13" s="195"/>
      <c r="BDO13" s="195"/>
      <c r="BDP13" s="195"/>
      <c r="BDQ13" s="195"/>
      <c r="BDR13" s="195"/>
      <c r="BDS13" s="195"/>
      <c r="BDT13" s="195"/>
      <c r="BDU13" s="195"/>
      <c r="BDV13" s="195"/>
      <c r="BDW13" s="195"/>
      <c r="BDX13" s="195"/>
      <c r="BDY13" s="195"/>
      <c r="BDZ13" s="195"/>
      <c r="BEA13" s="195"/>
      <c r="BEB13" s="195"/>
      <c r="BEC13" s="195"/>
      <c r="BED13" s="195"/>
      <c r="BEE13" s="195"/>
      <c r="BEF13" s="195"/>
      <c r="BEG13" s="195"/>
      <c r="BEH13" s="195"/>
      <c r="BEI13" s="195"/>
      <c r="BEJ13" s="195"/>
      <c r="BEK13" s="195"/>
      <c r="BEL13" s="195"/>
      <c r="BEM13" s="195"/>
      <c r="BEN13" s="195"/>
      <c r="BEO13" s="195"/>
      <c r="BEP13" s="195"/>
      <c r="BEQ13" s="195"/>
      <c r="BER13" s="195"/>
      <c r="BES13" s="195"/>
      <c r="BET13" s="195"/>
      <c r="BEU13" s="195"/>
      <c r="BEV13" s="195"/>
      <c r="BEW13" s="196"/>
      <c r="BEX13" s="194" t="s">
        <v>51</v>
      </c>
      <c r="BEY13" s="195"/>
      <c r="BEZ13" s="195"/>
      <c r="BFA13" s="195"/>
      <c r="BFB13" s="195"/>
      <c r="BFC13" s="195"/>
      <c r="BFD13" s="195"/>
      <c r="BFE13" s="195"/>
      <c r="BFF13" s="195"/>
      <c r="BFG13" s="195"/>
      <c r="BFH13" s="195"/>
      <c r="BFI13" s="195"/>
      <c r="BFJ13" s="195"/>
      <c r="BFK13" s="195"/>
      <c r="BFL13" s="195"/>
      <c r="BFM13" s="195"/>
      <c r="BFN13" s="195"/>
      <c r="BFO13" s="195"/>
      <c r="BFP13" s="195"/>
      <c r="BFQ13" s="195"/>
      <c r="BFR13" s="195"/>
      <c r="BFS13" s="195"/>
      <c r="BFT13" s="195"/>
      <c r="BFU13" s="195"/>
      <c r="BFV13" s="195"/>
      <c r="BFW13" s="195"/>
      <c r="BFX13" s="195"/>
      <c r="BFY13" s="195"/>
      <c r="BFZ13" s="195"/>
      <c r="BGA13" s="195"/>
      <c r="BGB13" s="195"/>
      <c r="BGC13" s="195"/>
      <c r="BGD13" s="195"/>
      <c r="BGE13" s="195"/>
      <c r="BGF13" s="195"/>
      <c r="BGG13" s="195"/>
      <c r="BGH13" s="195"/>
      <c r="BGI13" s="195"/>
      <c r="BGJ13" s="195"/>
      <c r="BGK13" s="195"/>
      <c r="BGL13" s="195"/>
      <c r="BGM13" s="195"/>
      <c r="BGN13" s="195"/>
      <c r="BGO13" s="195"/>
      <c r="BGP13" s="195"/>
      <c r="BGQ13" s="195"/>
      <c r="BGR13" s="195"/>
      <c r="BGS13" s="195"/>
      <c r="BGT13" s="195"/>
      <c r="BGU13" s="195"/>
      <c r="BGV13" s="195"/>
      <c r="BGW13" s="195"/>
      <c r="BGX13" s="195"/>
      <c r="BGY13" s="195"/>
      <c r="BGZ13" s="195"/>
      <c r="BHA13" s="195"/>
      <c r="BHB13" s="195"/>
      <c r="BHC13" s="195"/>
      <c r="BHD13" s="195"/>
      <c r="BHE13" s="196"/>
      <c r="BHF13" s="90"/>
      <c r="BJN13" s="3" t="s">
        <v>50</v>
      </c>
      <c r="BLV13" s="3" t="s">
        <v>49</v>
      </c>
      <c r="BOD13" s="3" t="s">
        <v>48</v>
      </c>
      <c r="BQL13" s="3" t="s">
        <v>47</v>
      </c>
      <c r="BST13" s="3" t="s">
        <v>46</v>
      </c>
    </row>
    <row r="14" spans="1:1866" ht="12.75" customHeight="1" thickBot="1" x14ac:dyDescent="0.35">
      <c r="B14" s="96"/>
      <c r="C14" s="210"/>
      <c r="D14" s="145"/>
      <c r="E14" s="212"/>
      <c r="F14" s="103"/>
      <c r="G14" s="104"/>
      <c r="H14" s="104"/>
      <c r="I14" s="104"/>
      <c r="J14" s="197" t="s">
        <v>35</v>
      </c>
      <c r="K14" s="197"/>
      <c r="L14" s="197"/>
      <c r="M14" s="197"/>
      <c r="N14" s="104"/>
      <c r="O14" s="104"/>
      <c r="P14" s="198" t="s">
        <v>24</v>
      </c>
      <c r="Q14" s="198"/>
      <c r="R14" s="198"/>
      <c r="S14" s="198"/>
      <c r="T14" s="129"/>
      <c r="U14" s="129"/>
      <c r="V14" s="197" t="s">
        <v>36</v>
      </c>
      <c r="W14" s="197"/>
      <c r="X14" s="197"/>
      <c r="Y14" s="197"/>
      <c r="Z14" s="104"/>
      <c r="AA14" s="104"/>
      <c r="AB14" s="198" t="s">
        <v>25</v>
      </c>
      <c r="AC14" s="198"/>
      <c r="AD14" s="198"/>
      <c r="AE14" s="198"/>
      <c r="AF14" s="129"/>
      <c r="AG14" s="129"/>
      <c r="AH14" s="197" t="s">
        <v>37</v>
      </c>
      <c r="AI14" s="197"/>
      <c r="AJ14" s="197"/>
      <c r="AK14" s="197"/>
      <c r="AL14" s="104"/>
      <c r="AM14" s="104"/>
      <c r="AN14" s="198" t="s">
        <v>26</v>
      </c>
      <c r="AO14" s="198"/>
      <c r="AP14" s="198"/>
      <c r="AQ14" s="198"/>
      <c r="AR14" s="129"/>
      <c r="AS14" s="129"/>
      <c r="AT14" s="197" t="s">
        <v>38</v>
      </c>
      <c r="AU14" s="197"/>
      <c r="AV14" s="197"/>
      <c r="AW14" s="197"/>
      <c r="AX14" s="104"/>
      <c r="AY14" s="104"/>
      <c r="AZ14" s="198" t="s">
        <v>27</v>
      </c>
      <c r="BA14" s="198"/>
      <c r="BB14" s="198"/>
      <c r="BC14" s="198"/>
      <c r="BD14" s="129"/>
      <c r="BE14" s="129"/>
      <c r="BF14" s="197" t="s">
        <v>39</v>
      </c>
      <c r="BG14" s="197"/>
      <c r="BH14" s="197"/>
      <c r="BI14" s="197"/>
      <c r="BJ14" s="104"/>
      <c r="BK14" s="104"/>
      <c r="BL14" s="104"/>
      <c r="BM14" s="105"/>
      <c r="BN14" s="103"/>
      <c r="BO14" s="104"/>
      <c r="BP14" s="104"/>
      <c r="BQ14" s="104"/>
      <c r="BR14" s="197" t="s">
        <v>35</v>
      </c>
      <c r="BS14" s="197"/>
      <c r="BT14" s="197"/>
      <c r="BU14" s="197"/>
      <c r="BV14" s="104"/>
      <c r="BW14" s="104"/>
      <c r="BX14" s="198" t="s">
        <v>24</v>
      </c>
      <c r="BY14" s="198"/>
      <c r="BZ14" s="198"/>
      <c r="CA14" s="198"/>
      <c r="CB14" s="129"/>
      <c r="CC14" s="129"/>
      <c r="CD14" s="197" t="s">
        <v>36</v>
      </c>
      <c r="CE14" s="197"/>
      <c r="CF14" s="197"/>
      <c r="CG14" s="197"/>
      <c r="CH14" s="104"/>
      <c r="CI14" s="104"/>
      <c r="CJ14" s="198" t="s">
        <v>25</v>
      </c>
      <c r="CK14" s="198"/>
      <c r="CL14" s="198"/>
      <c r="CM14" s="198"/>
      <c r="CN14" s="129"/>
      <c r="CO14" s="129"/>
      <c r="CP14" s="197" t="s">
        <v>37</v>
      </c>
      <c r="CQ14" s="197"/>
      <c r="CR14" s="197"/>
      <c r="CS14" s="197"/>
      <c r="CT14" s="104"/>
      <c r="CU14" s="104"/>
      <c r="CV14" s="198" t="s">
        <v>26</v>
      </c>
      <c r="CW14" s="198"/>
      <c r="CX14" s="198"/>
      <c r="CY14" s="198"/>
      <c r="CZ14" s="129"/>
      <c r="DA14" s="129"/>
      <c r="DB14" s="197" t="s">
        <v>38</v>
      </c>
      <c r="DC14" s="197"/>
      <c r="DD14" s="197"/>
      <c r="DE14" s="197"/>
      <c r="DF14" s="104"/>
      <c r="DG14" s="104"/>
      <c r="DH14" s="198" t="s">
        <v>27</v>
      </c>
      <c r="DI14" s="198"/>
      <c r="DJ14" s="198"/>
      <c r="DK14" s="198"/>
      <c r="DL14" s="129"/>
      <c r="DM14" s="129"/>
      <c r="DN14" s="197" t="s">
        <v>39</v>
      </c>
      <c r="DO14" s="197"/>
      <c r="DP14" s="197"/>
      <c r="DQ14" s="197"/>
      <c r="DR14" s="104"/>
      <c r="DS14" s="104"/>
      <c r="DT14" s="104"/>
      <c r="DU14" s="105"/>
      <c r="DV14" s="103"/>
      <c r="DW14" s="104"/>
      <c r="DX14" s="104"/>
      <c r="DY14" s="104"/>
      <c r="DZ14" s="197" t="s">
        <v>35</v>
      </c>
      <c r="EA14" s="197"/>
      <c r="EB14" s="197"/>
      <c r="EC14" s="197"/>
      <c r="ED14" s="104"/>
      <c r="EE14" s="104"/>
      <c r="EF14" s="198" t="s">
        <v>24</v>
      </c>
      <c r="EG14" s="198"/>
      <c r="EH14" s="198"/>
      <c r="EI14" s="198"/>
      <c r="EJ14" s="129"/>
      <c r="EK14" s="129"/>
      <c r="EL14" s="197" t="s">
        <v>36</v>
      </c>
      <c r="EM14" s="197"/>
      <c r="EN14" s="197"/>
      <c r="EO14" s="197"/>
      <c r="EP14" s="104"/>
      <c r="EQ14" s="104"/>
      <c r="ER14" s="198" t="s">
        <v>25</v>
      </c>
      <c r="ES14" s="198"/>
      <c r="ET14" s="198"/>
      <c r="EU14" s="198"/>
      <c r="EV14" s="129"/>
      <c r="EW14" s="129"/>
      <c r="EX14" s="197" t="s">
        <v>37</v>
      </c>
      <c r="EY14" s="197"/>
      <c r="EZ14" s="197"/>
      <c r="FA14" s="197"/>
      <c r="FB14" s="104"/>
      <c r="FC14" s="104"/>
      <c r="FD14" s="198" t="s">
        <v>26</v>
      </c>
      <c r="FE14" s="198"/>
      <c r="FF14" s="198"/>
      <c r="FG14" s="198"/>
      <c r="FH14" s="129"/>
      <c r="FI14" s="129"/>
      <c r="FJ14" s="197" t="s">
        <v>38</v>
      </c>
      <c r="FK14" s="197"/>
      <c r="FL14" s="197"/>
      <c r="FM14" s="197"/>
      <c r="FN14" s="104"/>
      <c r="FO14" s="104"/>
      <c r="FP14" s="198" t="s">
        <v>27</v>
      </c>
      <c r="FQ14" s="198"/>
      <c r="FR14" s="198"/>
      <c r="FS14" s="198"/>
      <c r="FT14" s="129"/>
      <c r="FU14" s="129"/>
      <c r="FV14" s="197" t="s">
        <v>39</v>
      </c>
      <c r="FW14" s="197"/>
      <c r="FX14" s="197"/>
      <c r="FY14" s="197"/>
      <c r="FZ14" s="104"/>
      <c r="GA14" s="104"/>
      <c r="GB14" s="104"/>
      <c r="GC14" s="105"/>
      <c r="GD14" s="103"/>
      <c r="GE14" s="104"/>
      <c r="GF14" s="104"/>
      <c r="GG14" s="104"/>
      <c r="GH14" s="197" t="s">
        <v>35</v>
      </c>
      <c r="GI14" s="197"/>
      <c r="GJ14" s="197"/>
      <c r="GK14" s="197"/>
      <c r="GL14" s="104"/>
      <c r="GM14" s="104"/>
      <c r="GN14" s="198" t="s">
        <v>24</v>
      </c>
      <c r="GO14" s="198"/>
      <c r="GP14" s="198"/>
      <c r="GQ14" s="198"/>
      <c r="GR14" s="129"/>
      <c r="GS14" s="129"/>
      <c r="GT14" s="197" t="s">
        <v>36</v>
      </c>
      <c r="GU14" s="197"/>
      <c r="GV14" s="197"/>
      <c r="GW14" s="197"/>
      <c r="GX14" s="104"/>
      <c r="GY14" s="104"/>
      <c r="GZ14" s="198" t="s">
        <v>25</v>
      </c>
      <c r="HA14" s="198"/>
      <c r="HB14" s="198"/>
      <c r="HC14" s="198"/>
      <c r="HD14" s="129"/>
      <c r="HE14" s="129"/>
      <c r="HF14" s="197" t="s">
        <v>37</v>
      </c>
      <c r="HG14" s="197"/>
      <c r="HH14" s="197"/>
      <c r="HI14" s="197"/>
      <c r="HJ14" s="104"/>
      <c r="HK14" s="104"/>
      <c r="HL14" s="198" t="s">
        <v>26</v>
      </c>
      <c r="HM14" s="198"/>
      <c r="HN14" s="198"/>
      <c r="HO14" s="198"/>
      <c r="HP14" s="129"/>
      <c r="HQ14" s="129"/>
      <c r="HR14" s="197" t="s">
        <v>38</v>
      </c>
      <c r="HS14" s="197"/>
      <c r="HT14" s="197"/>
      <c r="HU14" s="197"/>
      <c r="HV14" s="104"/>
      <c r="HW14" s="104"/>
      <c r="HX14" s="198" t="s">
        <v>27</v>
      </c>
      <c r="HY14" s="198"/>
      <c r="HZ14" s="198"/>
      <c r="IA14" s="198"/>
      <c r="IB14" s="129"/>
      <c r="IC14" s="129"/>
      <c r="ID14" s="197" t="s">
        <v>39</v>
      </c>
      <c r="IE14" s="197"/>
      <c r="IF14" s="197"/>
      <c r="IG14" s="197"/>
      <c r="IH14" s="104"/>
      <c r="II14" s="104"/>
      <c r="IJ14" s="104"/>
      <c r="IK14" s="105"/>
      <c r="IL14" s="103"/>
      <c r="IM14" s="104"/>
      <c r="IN14" s="104"/>
      <c r="IO14" s="104"/>
      <c r="IP14" s="197" t="s">
        <v>35</v>
      </c>
      <c r="IQ14" s="197"/>
      <c r="IR14" s="197"/>
      <c r="IS14" s="197"/>
      <c r="IT14" s="104"/>
      <c r="IU14" s="104"/>
      <c r="IV14" s="198" t="s">
        <v>24</v>
      </c>
      <c r="IW14" s="198"/>
      <c r="IX14" s="198"/>
      <c r="IY14" s="198"/>
      <c r="IZ14" s="129"/>
      <c r="JA14" s="129"/>
      <c r="JB14" s="197" t="s">
        <v>36</v>
      </c>
      <c r="JC14" s="197"/>
      <c r="JD14" s="197"/>
      <c r="JE14" s="197"/>
      <c r="JF14" s="104"/>
      <c r="JG14" s="104"/>
      <c r="JH14" s="198" t="s">
        <v>25</v>
      </c>
      <c r="JI14" s="198"/>
      <c r="JJ14" s="198"/>
      <c r="JK14" s="198"/>
      <c r="JL14" s="129"/>
      <c r="JM14" s="129"/>
      <c r="JN14" s="197" t="s">
        <v>37</v>
      </c>
      <c r="JO14" s="197"/>
      <c r="JP14" s="197"/>
      <c r="JQ14" s="197"/>
      <c r="JR14" s="104"/>
      <c r="JS14" s="104"/>
      <c r="JT14" s="198" t="s">
        <v>26</v>
      </c>
      <c r="JU14" s="198"/>
      <c r="JV14" s="198"/>
      <c r="JW14" s="198"/>
      <c r="JX14" s="129"/>
      <c r="JY14" s="129"/>
      <c r="JZ14" s="197" t="s">
        <v>38</v>
      </c>
      <c r="KA14" s="197"/>
      <c r="KB14" s="197"/>
      <c r="KC14" s="197"/>
      <c r="KD14" s="104"/>
      <c r="KE14" s="104"/>
      <c r="KF14" s="198" t="s">
        <v>27</v>
      </c>
      <c r="KG14" s="198"/>
      <c r="KH14" s="198"/>
      <c r="KI14" s="198"/>
      <c r="KJ14" s="129"/>
      <c r="KK14" s="129"/>
      <c r="KL14" s="197" t="s">
        <v>39</v>
      </c>
      <c r="KM14" s="197"/>
      <c r="KN14" s="197"/>
      <c r="KO14" s="197"/>
      <c r="KP14" s="104"/>
      <c r="KQ14" s="104"/>
      <c r="KR14" s="104"/>
      <c r="KS14" s="105"/>
      <c r="KT14" s="103"/>
      <c r="KU14" s="104"/>
      <c r="KV14" s="104"/>
      <c r="KW14" s="104"/>
      <c r="KX14" s="197" t="s">
        <v>35</v>
      </c>
      <c r="KY14" s="197"/>
      <c r="KZ14" s="197"/>
      <c r="LA14" s="197"/>
      <c r="LB14" s="104"/>
      <c r="LC14" s="104"/>
      <c r="LD14" s="198" t="s">
        <v>24</v>
      </c>
      <c r="LE14" s="198"/>
      <c r="LF14" s="198"/>
      <c r="LG14" s="198"/>
      <c r="LH14" s="129"/>
      <c r="LI14" s="129"/>
      <c r="LJ14" s="197" t="s">
        <v>36</v>
      </c>
      <c r="LK14" s="197"/>
      <c r="LL14" s="197"/>
      <c r="LM14" s="197"/>
      <c r="LN14" s="104"/>
      <c r="LO14" s="104"/>
      <c r="LP14" s="198" t="s">
        <v>25</v>
      </c>
      <c r="LQ14" s="198"/>
      <c r="LR14" s="198"/>
      <c r="LS14" s="198"/>
      <c r="LT14" s="129"/>
      <c r="LU14" s="129"/>
      <c r="LV14" s="197" t="s">
        <v>37</v>
      </c>
      <c r="LW14" s="197"/>
      <c r="LX14" s="197"/>
      <c r="LY14" s="197"/>
      <c r="LZ14" s="104"/>
      <c r="MA14" s="104"/>
      <c r="MB14" s="198" t="s">
        <v>26</v>
      </c>
      <c r="MC14" s="198"/>
      <c r="MD14" s="198"/>
      <c r="ME14" s="198"/>
      <c r="MF14" s="129"/>
      <c r="MG14" s="129"/>
      <c r="MH14" s="197" t="s">
        <v>38</v>
      </c>
      <c r="MI14" s="197"/>
      <c r="MJ14" s="197"/>
      <c r="MK14" s="197"/>
      <c r="ML14" s="104"/>
      <c r="MM14" s="104"/>
      <c r="MN14" s="198" t="s">
        <v>27</v>
      </c>
      <c r="MO14" s="198"/>
      <c r="MP14" s="198"/>
      <c r="MQ14" s="198"/>
      <c r="MR14" s="129"/>
      <c r="MS14" s="129"/>
      <c r="MT14" s="197" t="s">
        <v>39</v>
      </c>
      <c r="MU14" s="197"/>
      <c r="MV14" s="197"/>
      <c r="MW14" s="197"/>
      <c r="MX14" s="104"/>
      <c r="MY14" s="104"/>
      <c r="MZ14" s="104"/>
      <c r="NA14" s="105"/>
      <c r="NB14" s="103"/>
      <c r="NC14" s="104"/>
      <c r="ND14" s="104"/>
      <c r="NE14" s="104"/>
      <c r="NF14" s="197" t="s">
        <v>35</v>
      </c>
      <c r="NG14" s="197"/>
      <c r="NH14" s="197"/>
      <c r="NI14" s="197"/>
      <c r="NJ14" s="104"/>
      <c r="NK14" s="104"/>
      <c r="NL14" s="198" t="s">
        <v>24</v>
      </c>
      <c r="NM14" s="198"/>
      <c r="NN14" s="198"/>
      <c r="NO14" s="198"/>
      <c r="NP14" s="129"/>
      <c r="NQ14" s="129"/>
      <c r="NR14" s="197" t="s">
        <v>36</v>
      </c>
      <c r="NS14" s="197"/>
      <c r="NT14" s="197"/>
      <c r="NU14" s="197"/>
      <c r="NV14" s="104"/>
      <c r="NW14" s="104"/>
      <c r="NX14" s="198" t="s">
        <v>25</v>
      </c>
      <c r="NY14" s="198"/>
      <c r="NZ14" s="198"/>
      <c r="OA14" s="198"/>
      <c r="OB14" s="129"/>
      <c r="OC14" s="129"/>
      <c r="OD14" s="197" t="s">
        <v>37</v>
      </c>
      <c r="OE14" s="197"/>
      <c r="OF14" s="197"/>
      <c r="OG14" s="197"/>
      <c r="OH14" s="104"/>
      <c r="OI14" s="104"/>
      <c r="OJ14" s="198" t="s">
        <v>26</v>
      </c>
      <c r="OK14" s="198"/>
      <c r="OL14" s="198"/>
      <c r="OM14" s="198"/>
      <c r="ON14" s="129"/>
      <c r="OO14" s="129"/>
      <c r="OP14" s="197" t="s">
        <v>38</v>
      </c>
      <c r="OQ14" s="197"/>
      <c r="OR14" s="197"/>
      <c r="OS14" s="197"/>
      <c r="OT14" s="104"/>
      <c r="OU14" s="104"/>
      <c r="OV14" s="198" t="s">
        <v>27</v>
      </c>
      <c r="OW14" s="198"/>
      <c r="OX14" s="198"/>
      <c r="OY14" s="198"/>
      <c r="OZ14" s="129"/>
      <c r="PA14" s="129"/>
      <c r="PB14" s="197" t="s">
        <v>39</v>
      </c>
      <c r="PC14" s="197"/>
      <c r="PD14" s="197"/>
      <c r="PE14" s="197"/>
      <c r="PF14" s="104"/>
      <c r="PG14" s="104"/>
      <c r="PH14" s="104"/>
      <c r="PI14" s="105"/>
      <c r="PJ14" s="103"/>
      <c r="PK14" s="104"/>
      <c r="PL14" s="104"/>
      <c r="PM14" s="104"/>
      <c r="PN14" s="197" t="s">
        <v>35</v>
      </c>
      <c r="PO14" s="197"/>
      <c r="PP14" s="197"/>
      <c r="PQ14" s="197"/>
      <c r="PR14" s="104"/>
      <c r="PS14" s="104"/>
      <c r="PT14" s="198" t="s">
        <v>24</v>
      </c>
      <c r="PU14" s="198"/>
      <c r="PV14" s="198"/>
      <c r="PW14" s="198"/>
      <c r="PX14" s="129"/>
      <c r="PY14" s="129"/>
      <c r="PZ14" s="197" t="s">
        <v>36</v>
      </c>
      <c r="QA14" s="197"/>
      <c r="QB14" s="197"/>
      <c r="QC14" s="197"/>
      <c r="QD14" s="104"/>
      <c r="QE14" s="104"/>
      <c r="QF14" s="198" t="s">
        <v>25</v>
      </c>
      <c r="QG14" s="198"/>
      <c r="QH14" s="198"/>
      <c r="QI14" s="198"/>
      <c r="QJ14" s="129"/>
      <c r="QK14" s="129"/>
      <c r="QL14" s="197" t="s">
        <v>37</v>
      </c>
      <c r="QM14" s="197"/>
      <c r="QN14" s="197"/>
      <c r="QO14" s="197"/>
      <c r="QP14" s="104"/>
      <c r="QQ14" s="104"/>
      <c r="QR14" s="198" t="s">
        <v>26</v>
      </c>
      <c r="QS14" s="198"/>
      <c r="QT14" s="198"/>
      <c r="QU14" s="198"/>
      <c r="QV14" s="129"/>
      <c r="QW14" s="129"/>
      <c r="QX14" s="197" t="s">
        <v>38</v>
      </c>
      <c r="QY14" s="197"/>
      <c r="QZ14" s="197"/>
      <c r="RA14" s="197"/>
      <c r="RB14" s="104"/>
      <c r="RC14" s="104"/>
      <c r="RD14" s="198" t="s">
        <v>27</v>
      </c>
      <c r="RE14" s="198"/>
      <c r="RF14" s="198"/>
      <c r="RG14" s="198"/>
      <c r="RH14" s="129"/>
      <c r="RI14" s="129"/>
      <c r="RJ14" s="197" t="s">
        <v>39</v>
      </c>
      <c r="RK14" s="197"/>
      <c r="RL14" s="197"/>
      <c r="RM14" s="197"/>
      <c r="RN14" s="104"/>
      <c r="RO14" s="104"/>
      <c r="RP14" s="104"/>
      <c r="RQ14" s="105"/>
      <c r="RR14" s="103"/>
      <c r="RS14" s="104"/>
      <c r="RT14" s="104"/>
      <c r="RU14" s="104"/>
      <c r="RV14" s="197" t="s">
        <v>35</v>
      </c>
      <c r="RW14" s="197"/>
      <c r="RX14" s="197"/>
      <c r="RY14" s="197"/>
      <c r="RZ14" s="104"/>
      <c r="SA14" s="104"/>
      <c r="SB14" s="198" t="s">
        <v>24</v>
      </c>
      <c r="SC14" s="198"/>
      <c r="SD14" s="198"/>
      <c r="SE14" s="198"/>
      <c r="SF14" s="129"/>
      <c r="SG14" s="129"/>
      <c r="SH14" s="197" t="s">
        <v>36</v>
      </c>
      <c r="SI14" s="197"/>
      <c r="SJ14" s="197"/>
      <c r="SK14" s="197"/>
      <c r="SL14" s="104"/>
      <c r="SM14" s="104"/>
      <c r="SN14" s="198" t="s">
        <v>25</v>
      </c>
      <c r="SO14" s="198"/>
      <c r="SP14" s="198"/>
      <c r="SQ14" s="198"/>
      <c r="SR14" s="129"/>
      <c r="SS14" s="129"/>
      <c r="ST14" s="197" t="s">
        <v>37</v>
      </c>
      <c r="SU14" s="197"/>
      <c r="SV14" s="197"/>
      <c r="SW14" s="197"/>
      <c r="SX14" s="104"/>
      <c r="SY14" s="104"/>
      <c r="SZ14" s="198" t="s">
        <v>26</v>
      </c>
      <c r="TA14" s="198"/>
      <c r="TB14" s="198"/>
      <c r="TC14" s="198"/>
      <c r="TD14" s="129"/>
      <c r="TE14" s="129"/>
      <c r="TF14" s="197" t="s">
        <v>38</v>
      </c>
      <c r="TG14" s="197"/>
      <c r="TH14" s="197"/>
      <c r="TI14" s="197"/>
      <c r="TJ14" s="104"/>
      <c r="TK14" s="104"/>
      <c r="TL14" s="198" t="s">
        <v>27</v>
      </c>
      <c r="TM14" s="198"/>
      <c r="TN14" s="198"/>
      <c r="TO14" s="198"/>
      <c r="TP14" s="129"/>
      <c r="TQ14" s="129"/>
      <c r="TR14" s="197" t="s">
        <v>39</v>
      </c>
      <c r="TS14" s="197"/>
      <c r="TT14" s="197"/>
      <c r="TU14" s="197"/>
      <c r="TV14" s="104"/>
      <c r="TW14" s="104"/>
      <c r="TX14" s="104"/>
      <c r="TY14" s="105"/>
      <c r="TZ14" s="103"/>
      <c r="UA14" s="104"/>
      <c r="UB14" s="104"/>
      <c r="UC14" s="104"/>
      <c r="UD14" s="197" t="s">
        <v>35</v>
      </c>
      <c r="UE14" s="197"/>
      <c r="UF14" s="197"/>
      <c r="UG14" s="197"/>
      <c r="UH14" s="104"/>
      <c r="UI14" s="104"/>
      <c r="UJ14" s="198" t="s">
        <v>24</v>
      </c>
      <c r="UK14" s="198"/>
      <c r="UL14" s="198"/>
      <c r="UM14" s="198"/>
      <c r="UN14" s="129"/>
      <c r="UO14" s="129"/>
      <c r="UP14" s="197" t="s">
        <v>36</v>
      </c>
      <c r="UQ14" s="197"/>
      <c r="UR14" s="197"/>
      <c r="US14" s="197"/>
      <c r="UT14" s="104"/>
      <c r="UU14" s="104"/>
      <c r="UV14" s="198" t="s">
        <v>25</v>
      </c>
      <c r="UW14" s="198"/>
      <c r="UX14" s="198"/>
      <c r="UY14" s="198"/>
      <c r="UZ14" s="129"/>
      <c r="VA14" s="129"/>
      <c r="VB14" s="197" t="s">
        <v>37</v>
      </c>
      <c r="VC14" s="197"/>
      <c r="VD14" s="197"/>
      <c r="VE14" s="197"/>
      <c r="VF14" s="104"/>
      <c r="VG14" s="104"/>
      <c r="VH14" s="198" t="s">
        <v>26</v>
      </c>
      <c r="VI14" s="198"/>
      <c r="VJ14" s="198"/>
      <c r="VK14" s="198"/>
      <c r="VL14" s="129"/>
      <c r="VM14" s="129"/>
      <c r="VN14" s="197" t="s">
        <v>38</v>
      </c>
      <c r="VO14" s="197"/>
      <c r="VP14" s="197"/>
      <c r="VQ14" s="197"/>
      <c r="VR14" s="104"/>
      <c r="VS14" s="104"/>
      <c r="VT14" s="198" t="s">
        <v>27</v>
      </c>
      <c r="VU14" s="198"/>
      <c r="VV14" s="198"/>
      <c r="VW14" s="198"/>
      <c r="VX14" s="129"/>
      <c r="VY14" s="129"/>
      <c r="VZ14" s="197" t="s">
        <v>39</v>
      </c>
      <c r="WA14" s="197"/>
      <c r="WB14" s="197"/>
      <c r="WC14" s="197"/>
      <c r="WD14" s="104"/>
      <c r="WE14" s="104"/>
      <c r="WF14" s="104"/>
      <c r="WG14" s="105"/>
      <c r="WH14" s="103"/>
      <c r="WI14" s="104"/>
      <c r="WJ14" s="104"/>
      <c r="WK14" s="104"/>
      <c r="WL14" s="197" t="s">
        <v>35</v>
      </c>
      <c r="WM14" s="197"/>
      <c r="WN14" s="197"/>
      <c r="WO14" s="197"/>
      <c r="WP14" s="104"/>
      <c r="WQ14" s="104"/>
      <c r="WR14" s="198" t="s">
        <v>24</v>
      </c>
      <c r="WS14" s="198"/>
      <c r="WT14" s="198"/>
      <c r="WU14" s="198"/>
      <c r="WV14" s="129"/>
      <c r="WW14" s="129"/>
      <c r="WX14" s="197" t="s">
        <v>36</v>
      </c>
      <c r="WY14" s="197"/>
      <c r="WZ14" s="197"/>
      <c r="XA14" s="197"/>
      <c r="XB14" s="104"/>
      <c r="XC14" s="104"/>
      <c r="XD14" s="198" t="s">
        <v>25</v>
      </c>
      <c r="XE14" s="198"/>
      <c r="XF14" s="198"/>
      <c r="XG14" s="198"/>
      <c r="XH14" s="129"/>
      <c r="XI14" s="129"/>
      <c r="XJ14" s="197" t="s">
        <v>37</v>
      </c>
      <c r="XK14" s="197"/>
      <c r="XL14" s="197"/>
      <c r="XM14" s="197"/>
      <c r="XN14" s="104"/>
      <c r="XO14" s="104"/>
      <c r="XP14" s="198" t="s">
        <v>26</v>
      </c>
      <c r="XQ14" s="198"/>
      <c r="XR14" s="198"/>
      <c r="XS14" s="198"/>
      <c r="XT14" s="129"/>
      <c r="XU14" s="129"/>
      <c r="XV14" s="197" t="s">
        <v>38</v>
      </c>
      <c r="XW14" s="197"/>
      <c r="XX14" s="197"/>
      <c r="XY14" s="197"/>
      <c r="XZ14" s="104"/>
      <c r="YA14" s="104"/>
      <c r="YB14" s="198" t="s">
        <v>27</v>
      </c>
      <c r="YC14" s="198"/>
      <c r="YD14" s="198"/>
      <c r="YE14" s="198"/>
      <c r="YF14" s="129"/>
      <c r="YG14" s="129"/>
      <c r="YH14" s="197" t="s">
        <v>39</v>
      </c>
      <c r="YI14" s="197"/>
      <c r="YJ14" s="197"/>
      <c r="YK14" s="197"/>
      <c r="YL14" s="104"/>
      <c r="YM14" s="104"/>
      <c r="YN14" s="104"/>
      <c r="YO14" s="105"/>
      <c r="YP14" s="103"/>
      <c r="YQ14" s="104"/>
      <c r="YR14" s="104"/>
      <c r="YS14" s="104"/>
      <c r="YT14" s="197" t="s">
        <v>35</v>
      </c>
      <c r="YU14" s="197"/>
      <c r="YV14" s="197"/>
      <c r="YW14" s="197"/>
      <c r="YX14" s="104"/>
      <c r="YY14" s="104"/>
      <c r="YZ14" s="198" t="s">
        <v>24</v>
      </c>
      <c r="ZA14" s="198"/>
      <c r="ZB14" s="198"/>
      <c r="ZC14" s="198"/>
      <c r="ZD14" s="129"/>
      <c r="ZE14" s="129"/>
      <c r="ZF14" s="197" t="s">
        <v>36</v>
      </c>
      <c r="ZG14" s="197"/>
      <c r="ZH14" s="197"/>
      <c r="ZI14" s="197"/>
      <c r="ZJ14" s="104"/>
      <c r="ZK14" s="104"/>
      <c r="ZL14" s="198" t="s">
        <v>25</v>
      </c>
      <c r="ZM14" s="198"/>
      <c r="ZN14" s="198"/>
      <c r="ZO14" s="198"/>
      <c r="ZP14" s="129"/>
      <c r="ZQ14" s="129"/>
      <c r="ZR14" s="197" t="s">
        <v>37</v>
      </c>
      <c r="ZS14" s="197"/>
      <c r="ZT14" s="197"/>
      <c r="ZU14" s="197"/>
      <c r="ZV14" s="104"/>
      <c r="ZW14" s="104"/>
      <c r="ZX14" s="198" t="s">
        <v>26</v>
      </c>
      <c r="ZY14" s="198"/>
      <c r="ZZ14" s="198"/>
      <c r="AAA14" s="198"/>
      <c r="AAB14" s="129"/>
      <c r="AAC14" s="129"/>
      <c r="AAD14" s="197" t="s">
        <v>38</v>
      </c>
      <c r="AAE14" s="197"/>
      <c r="AAF14" s="197"/>
      <c r="AAG14" s="197"/>
      <c r="AAH14" s="104"/>
      <c r="AAI14" s="104"/>
      <c r="AAJ14" s="198" t="s">
        <v>27</v>
      </c>
      <c r="AAK14" s="198"/>
      <c r="AAL14" s="198"/>
      <c r="AAM14" s="198"/>
      <c r="AAN14" s="129"/>
      <c r="AAO14" s="129"/>
      <c r="AAP14" s="197" t="s">
        <v>39</v>
      </c>
      <c r="AAQ14" s="197"/>
      <c r="AAR14" s="197"/>
      <c r="AAS14" s="197"/>
      <c r="AAT14" s="104"/>
      <c r="AAU14" s="104"/>
      <c r="AAV14" s="104"/>
      <c r="AAW14" s="105"/>
      <c r="AAX14" s="103"/>
      <c r="AAY14" s="104"/>
      <c r="AAZ14" s="104"/>
      <c r="ABA14" s="104"/>
      <c r="ABB14" s="197" t="s">
        <v>35</v>
      </c>
      <c r="ABC14" s="197"/>
      <c r="ABD14" s="197"/>
      <c r="ABE14" s="197"/>
      <c r="ABF14" s="104"/>
      <c r="ABG14" s="104"/>
      <c r="ABH14" s="198" t="s">
        <v>24</v>
      </c>
      <c r="ABI14" s="198"/>
      <c r="ABJ14" s="198"/>
      <c r="ABK14" s="198"/>
      <c r="ABL14" s="129"/>
      <c r="ABM14" s="129"/>
      <c r="ABN14" s="197" t="s">
        <v>36</v>
      </c>
      <c r="ABO14" s="197"/>
      <c r="ABP14" s="197"/>
      <c r="ABQ14" s="197"/>
      <c r="ABR14" s="104"/>
      <c r="ABS14" s="104"/>
      <c r="ABT14" s="198" t="s">
        <v>25</v>
      </c>
      <c r="ABU14" s="198"/>
      <c r="ABV14" s="198"/>
      <c r="ABW14" s="198"/>
      <c r="ABX14" s="129"/>
      <c r="ABY14" s="129"/>
      <c r="ABZ14" s="197" t="s">
        <v>37</v>
      </c>
      <c r="ACA14" s="197"/>
      <c r="ACB14" s="197"/>
      <c r="ACC14" s="197"/>
      <c r="ACD14" s="104"/>
      <c r="ACE14" s="104"/>
      <c r="ACF14" s="198" t="s">
        <v>26</v>
      </c>
      <c r="ACG14" s="198"/>
      <c r="ACH14" s="198"/>
      <c r="ACI14" s="198"/>
      <c r="ACJ14" s="129"/>
      <c r="ACK14" s="129"/>
      <c r="ACL14" s="197" t="s">
        <v>38</v>
      </c>
      <c r="ACM14" s="197"/>
      <c r="ACN14" s="197"/>
      <c r="ACO14" s="197"/>
      <c r="ACP14" s="104"/>
      <c r="ACQ14" s="104"/>
      <c r="ACR14" s="198" t="s">
        <v>27</v>
      </c>
      <c r="ACS14" s="198"/>
      <c r="ACT14" s="198"/>
      <c r="ACU14" s="198"/>
      <c r="ACV14" s="129"/>
      <c r="ACW14" s="129"/>
      <c r="ACX14" s="197" t="s">
        <v>39</v>
      </c>
      <c r="ACY14" s="197"/>
      <c r="ACZ14" s="197"/>
      <c r="ADA14" s="197"/>
      <c r="ADB14" s="104"/>
      <c r="ADC14" s="104"/>
      <c r="ADD14" s="104"/>
      <c r="ADE14" s="105"/>
      <c r="ADF14" s="103"/>
      <c r="ADG14" s="104"/>
      <c r="ADH14" s="104"/>
      <c r="ADI14" s="104"/>
      <c r="ADJ14" s="197" t="s">
        <v>35</v>
      </c>
      <c r="ADK14" s="197"/>
      <c r="ADL14" s="197"/>
      <c r="ADM14" s="197"/>
      <c r="ADN14" s="104"/>
      <c r="ADO14" s="104"/>
      <c r="ADP14" s="198" t="s">
        <v>24</v>
      </c>
      <c r="ADQ14" s="198"/>
      <c r="ADR14" s="198"/>
      <c r="ADS14" s="198"/>
      <c r="ADT14" s="129"/>
      <c r="ADU14" s="129"/>
      <c r="ADV14" s="197" t="s">
        <v>36</v>
      </c>
      <c r="ADW14" s="197"/>
      <c r="ADX14" s="197"/>
      <c r="ADY14" s="197"/>
      <c r="ADZ14" s="104"/>
      <c r="AEA14" s="104"/>
      <c r="AEB14" s="198" t="s">
        <v>25</v>
      </c>
      <c r="AEC14" s="198"/>
      <c r="AED14" s="198"/>
      <c r="AEE14" s="198"/>
      <c r="AEF14" s="129"/>
      <c r="AEG14" s="129"/>
      <c r="AEH14" s="197" t="s">
        <v>37</v>
      </c>
      <c r="AEI14" s="197"/>
      <c r="AEJ14" s="197"/>
      <c r="AEK14" s="197"/>
      <c r="AEL14" s="104"/>
      <c r="AEM14" s="104"/>
      <c r="AEN14" s="198" t="s">
        <v>26</v>
      </c>
      <c r="AEO14" s="198"/>
      <c r="AEP14" s="198"/>
      <c r="AEQ14" s="198"/>
      <c r="AER14" s="129"/>
      <c r="AES14" s="129"/>
      <c r="AET14" s="197" t="s">
        <v>38</v>
      </c>
      <c r="AEU14" s="197"/>
      <c r="AEV14" s="197"/>
      <c r="AEW14" s="197"/>
      <c r="AEX14" s="104"/>
      <c r="AEY14" s="104"/>
      <c r="AEZ14" s="198" t="s">
        <v>27</v>
      </c>
      <c r="AFA14" s="198"/>
      <c r="AFB14" s="198"/>
      <c r="AFC14" s="198"/>
      <c r="AFD14" s="129"/>
      <c r="AFE14" s="129"/>
      <c r="AFF14" s="197" t="s">
        <v>39</v>
      </c>
      <c r="AFG14" s="197"/>
      <c r="AFH14" s="197"/>
      <c r="AFI14" s="197"/>
      <c r="AFJ14" s="104"/>
      <c r="AFK14" s="104"/>
      <c r="AFL14" s="104"/>
      <c r="AFM14" s="105"/>
      <c r="AFN14" s="103"/>
      <c r="AFO14" s="104"/>
      <c r="AFP14" s="104"/>
      <c r="AFQ14" s="104"/>
      <c r="AFR14" s="197" t="s">
        <v>35</v>
      </c>
      <c r="AFS14" s="197"/>
      <c r="AFT14" s="197"/>
      <c r="AFU14" s="197"/>
      <c r="AFV14" s="104"/>
      <c r="AFW14" s="104"/>
      <c r="AFX14" s="198" t="s">
        <v>24</v>
      </c>
      <c r="AFY14" s="198"/>
      <c r="AFZ14" s="198"/>
      <c r="AGA14" s="198"/>
      <c r="AGB14" s="129"/>
      <c r="AGC14" s="129"/>
      <c r="AGD14" s="197" t="s">
        <v>36</v>
      </c>
      <c r="AGE14" s="197"/>
      <c r="AGF14" s="197"/>
      <c r="AGG14" s="197"/>
      <c r="AGH14" s="104"/>
      <c r="AGI14" s="104"/>
      <c r="AGJ14" s="198" t="s">
        <v>25</v>
      </c>
      <c r="AGK14" s="198"/>
      <c r="AGL14" s="198"/>
      <c r="AGM14" s="198"/>
      <c r="AGN14" s="129"/>
      <c r="AGO14" s="129"/>
      <c r="AGP14" s="197" t="s">
        <v>37</v>
      </c>
      <c r="AGQ14" s="197"/>
      <c r="AGR14" s="197"/>
      <c r="AGS14" s="197"/>
      <c r="AGT14" s="104"/>
      <c r="AGU14" s="104"/>
      <c r="AGV14" s="198" t="s">
        <v>26</v>
      </c>
      <c r="AGW14" s="198"/>
      <c r="AGX14" s="198"/>
      <c r="AGY14" s="198"/>
      <c r="AGZ14" s="129"/>
      <c r="AHA14" s="129"/>
      <c r="AHB14" s="197" t="s">
        <v>38</v>
      </c>
      <c r="AHC14" s="197"/>
      <c r="AHD14" s="197"/>
      <c r="AHE14" s="197"/>
      <c r="AHF14" s="104"/>
      <c r="AHG14" s="104"/>
      <c r="AHH14" s="198" t="s">
        <v>27</v>
      </c>
      <c r="AHI14" s="198"/>
      <c r="AHJ14" s="198"/>
      <c r="AHK14" s="198"/>
      <c r="AHL14" s="129"/>
      <c r="AHM14" s="129"/>
      <c r="AHN14" s="197" t="s">
        <v>39</v>
      </c>
      <c r="AHO14" s="197"/>
      <c r="AHP14" s="197"/>
      <c r="AHQ14" s="197"/>
      <c r="AHR14" s="104"/>
      <c r="AHS14" s="104"/>
      <c r="AHT14" s="104"/>
      <c r="AHU14" s="105"/>
      <c r="AHV14" s="103"/>
      <c r="AHW14" s="104"/>
      <c r="AHX14" s="104"/>
      <c r="AHY14" s="104"/>
      <c r="AHZ14" s="197" t="s">
        <v>35</v>
      </c>
      <c r="AIA14" s="197"/>
      <c r="AIB14" s="197"/>
      <c r="AIC14" s="197"/>
      <c r="AID14" s="104"/>
      <c r="AIE14" s="104"/>
      <c r="AIF14" s="198" t="s">
        <v>24</v>
      </c>
      <c r="AIG14" s="198"/>
      <c r="AIH14" s="198"/>
      <c r="AII14" s="198"/>
      <c r="AIJ14" s="129"/>
      <c r="AIK14" s="129"/>
      <c r="AIL14" s="197" t="s">
        <v>36</v>
      </c>
      <c r="AIM14" s="197"/>
      <c r="AIN14" s="197"/>
      <c r="AIO14" s="197"/>
      <c r="AIP14" s="104"/>
      <c r="AIQ14" s="104"/>
      <c r="AIR14" s="198" t="s">
        <v>25</v>
      </c>
      <c r="AIS14" s="198"/>
      <c r="AIT14" s="198"/>
      <c r="AIU14" s="198"/>
      <c r="AIV14" s="129"/>
      <c r="AIW14" s="129"/>
      <c r="AIX14" s="197" t="s">
        <v>37</v>
      </c>
      <c r="AIY14" s="197"/>
      <c r="AIZ14" s="197"/>
      <c r="AJA14" s="197"/>
      <c r="AJB14" s="104"/>
      <c r="AJC14" s="104"/>
      <c r="AJD14" s="198" t="s">
        <v>26</v>
      </c>
      <c r="AJE14" s="198"/>
      <c r="AJF14" s="198"/>
      <c r="AJG14" s="198"/>
      <c r="AJH14" s="129"/>
      <c r="AJI14" s="129"/>
      <c r="AJJ14" s="197" t="s">
        <v>38</v>
      </c>
      <c r="AJK14" s="197"/>
      <c r="AJL14" s="197"/>
      <c r="AJM14" s="197"/>
      <c r="AJN14" s="104"/>
      <c r="AJO14" s="104"/>
      <c r="AJP14" s="198" t="s">
        <v>27</v>
      </c>
      <c r="AJQ14" s="198"/>
      <c r="AJR14" s="198"/>
      <c r="AJS14" s="198"/>
      <c r="AJT14" s="129"/>
      <c r="AJU14" s="129"/>
      <c r="AJV14" s="197" t="s">
        <v>39</v>
      </c>
      <c r="AJW14" s="197"/>
      <c r="AJX14" s="197"/>
      <c r="AJY14" s="197"/>
      <c r="AJZ14" s="104"/>
      <c r="AKA14" s="104"/>
      <c r="AKB14" s="104"/>
      <c r="AKC14" s="105"/>
      <c r="AKD14" s="103"/>
      <c r="AKE14" s="104"/>
      <c r="AKF14" s="104"/>
      <c r="AKG14" s="104"/>
      <c r="AKH14" s="197" t="s">
        <v>35</v>
      </c>
      <c r="AKI14" s="197"/>
      <c r="AKJ14" s="197"/>
      <c r="AKK14" s="197"/>
      <c r="AKL14" s="104"/>
      <c r="AKM14" s="104"/>
      <c r="AKN14" s="198" t="s">
        <v>24</v>
      </c>
      <c r="AKO14" s="198"/>
      <c r="AKP14" s="198"/>
      <c r="AKQ14" s="198"/>
      <c r="AKR14" s="129"/>
      <c r="AKS14" s="129"/>
      <c r="AKT14" s="197" t="s">
        <v>36</v>
      </c>
      <c r="AKU14" s="197"/>
      <c r="AKV14" s="197"/>
      <c r="AKW14" s="197"/>
      <c r="AKX14" s="104"/>
      <c r="AKY14" s="104"/>
      <c r="AKZ14" s="198" t="s">
        <v>25</v>
      </c>
      <c r="ALA14" s="198"/>
      <c r="ALB14" s="198"/>
      <c r="ALC14" s="198"/>
      <c r="ALD14" s="129"/>
      <c r="ALE14" s="129"/>
      <c r="ALF14" s="197" t="s">
        <v>37</v>
      </c>
      <c r="ALG14" s="197"/>
      <c r="ALH14" s="197"/>
      <c r="ALI14" s="197"/>
      <c r="ALJ14" s="104"/>
      <c r="ALK14" s="104"/>
      <c r="ALL14" s="198" t="s">
        <v>26</v>
      </c>
      <c r="ALM14" s="198"/>
      <c r="ALN14" s="198"/>
      <c r="ALO14" s="198"/>
      <c r="ALP14" s="129"/>
      <c r="ALQ14" s="129"/>
      <c r="ALR14" s="197" t="s">
        <v>38</v>
      </c>
      <c r="ALS14" s="197"/>
      <c r="ALT14" s="197"/>
      <c r="ALU14" s="197"/>
      <c r="ALV14" s="104"/>
      <c r="ALW14" s="104"/>
      <c r="ALX14" s="198" t="s">
        <v>27</v>
      </c>
      <c r="ALY14" s="198"/>
      <c r="ALZ14" s="198"/>
      <c r="AMA14" s="198"/>
      <c r="AMB14" s="129"/>
      <c r="AMC14" s="129"/>
      <c r="AMD14" s="197" t="s">
        <v>39</v>
      </c>
      <c r="AME14" s="197"/>
      <c r="AMF14" s="197"/>
      <c r="AMG14" s="197"/>
      <c r="AMH14" s="104"/>
      <c r="AMI14" s="104"/>
      <c r="AMJ14" s="104"/>
      <c r="AMK14" s="105"/>
      <c r="AML14" s="103"/>
      <c r="AMM14" s="104"/>
      <c r="AMN14" s="104"/>
      <c r="AMO14" s="104"/>
      <c r="AMP14" s="197" t="s">
        <v>35</v>
      </c>
      <c r="AMQ14" s="197"/>
      <c r="AMR14" s="197"/>
      <c r="AMS14" s="197"/>
      <c r="AMT14" s="104"/>
      <c r="AMU14" s="104"/>
      <c r="AMV14" s="198" t="s">
        <v>24</v>
      </c>
      <c r="AMW14" s="198"/>
      <c r="AMX14" s="198"/>
      <c r="AMY14" s="198"/>
      <c r="AMZ14" s="129"/>
      <c r="ANA14" s="129"/>
      <c r="ANB14" s="197" t="s">
        <v>36</v>
      </c>
      <c r="ANC14" s="197"/>
      <c r="AND14" s="197"/>
      <c r="ANE14" s="197"/>
      <c r="ANF14" s="104"/>
      <c r="ANG14" s="104"/>
      <c r="ANH14" s="198" t="s">
        <v>25</v>
      </c>
      <c r="ANI14" s="198"/>
      <c r="ANJ14" s="198"/>
      <c r="ANK14" s="198"/>
      <c r="ANL14" s="129"/>
      <c r="ANM14" s="129"/>
      <c r="ANN14" s="197" t="s">
        <v>37</v>
      </c>
      <c r="ANO14" s="197"/>
      <c r="ANP14" s="197"/>
      <c r="ANQ14" s="197"/>
      <c r="ANR14" s="104"/>
      <c r="ANS14" s="104"/>
      <c r="ANT14" s="198" t="s">
        <v>26</v>
      </c>
      <c r="ANU14" s="198"/>
      <c r="ANV14" s="198"/>
      <c r="ANW14" s="198"/>
      <c r="ANX14" s="129"/>
      <c r="ANY14" s="129"/>
      <c r="ANZ14" s="197" t="s">
        <v>38</v>
      </c>
      <c r="AOA14" s="197"/>
      <c r="AOB14" s="197"/>
      <c r="AOC14" s="197"/>
      <c r="AOD14" s="104"/>
      <c r="AOE14" s="104"/>
      <c r="AOF14" s="198" t="s">
        <v>27</v>
      </c>
      <c r="AOG14" s="198"/>
      <c r="AOH14" s="198"/>
      <c r="AOI14" s="198"/>
      <c r="AOJ14" s="129"/>
      <c r="AOK14" s="129"/>
      <c r="AOL14" s="197" t="s">
        <v>39</v>
      </c>
      <c r="AOM14" s="197"/>
      <c r="AON14" s="197"/>
      <c r="AOO14" s="197"/>
      <c r="AOP14" s="104"/>
      <c r="AOQ14" s="104"/>
      <c r="AOR14" s="104"/>
      <c r="AOS14" s="105"/>
      <c r="AOT14" s="103"/>
      <c r="AOU14" s="104"/>
      <c r="AOV14" s="104"/>
      <c r="AOW14" s="104"/>
      <c r="AOX14" s="197" t="s">
        <v>35</v>
      </c>
      <c r="AOY14" s="197"/>
      <c r="AOZ14" s="197"/>
      <c r="APA14" s="197"/>
      <c r="APB14" s="104"/>
      <c r="APC14" s="104"/>
      <c r="APD14" s="198" t="s">
        <v>24</v>
      </c>
      <c r="APE14" s="198"/>
      <c r="APF14" s="198"/>
      <c r="APG14" s="198"/>
      <c r="APH14" s="129"/>
      <c r="API14" s="129"/>
      <c r="APJ14" s="197" t="s">
        <v>36</v>
      </c>
      <c r="APK14" s="197"/>
      <c r="APL14" s="197"/>
      <c r="APM14" s="197"/>
      <c r="APN14" s="104"/>
      <c r="APO14" s="104"/>
      <c r="APP14" s="198" t="s">
        <v>25</v>
      </c>
      <c r="APQ14" s="198"/>
      <c r="APR14" s="198"/>
      <c r="APS14" s="198"/>
      <c r="APT14" s="129"/>
      <c r="APU14" s="129"/>
      <c r="APV14" s="197" t="s">
        <v>37</v>
      </c>
      <c r="APW14" s="197"/>
      <c r="APX14" s="197"/>
      <c r="APY14" s="197"/>
      <c r="APZ14" s="104"/>
      <c r="AQA14" s="104"/>
      <c r="AQB14" s="198" t="s">
        <v>26</v>
      </c>
      <c r="AQC14" s="198"/>
      <c r="AQD14" s="198"/>
      <c r="AQE14" s="198"/>
      <c r="AQF14" s="129"/>
      <c r="AQG14" s="129"/>
      <c r="AQH14" s="197" t="s">
        <v>38</v>
      </c>
      <c r="AQI14" s="197"/>
      <c r="AQJ14" s="197"/>
      <c r="AQK14" s="197"/>
      <c r="AQL14" s="104"/>
      <c r="AQM14" s="104"/>
      <c r="AQN14" s="198" t="s">
        <v>27</v>
      </c>
      <c r="AQO14" s="198"/>
      <c r="AQP14" s="198"/>
      <c r="AQQ14" s="198"/>
      <c r="AQR14" s="129"/>
      <c r="AQS14" s="129"/>
      <c r="AQT14" s="197" t="s">
        <v>39</v>
      </c>
      <c r="AQU14" s="197"/>
      <c r="AQV14" s="197"/>
      <c r="AQW14" s="197"/>
      <c r="AQX14" s="104"/>
      <c r="AQY14" s="104"/>
      <c r="AQZ14" s="104"/>
      <c r="ARA14" s="105"/>
      <c r="ARB14" s="103"/>
      <c r="ARC14" s="104"/>
      <c r="ARD14" s="104"/>
      <c r="ARE14" s="104"/>
      <c r="ARF14" s="197" t="s">
        <v>35</v>
      </c>
      <c r="ARG14" s="197"/>
      <c r="ARH14" s="197"/>
      <c r="ARI14" s="197"/>
      <c r="ARJ14" s="104"/>
      <c r="ARK14" s="104"/>
      <c r="ARL14" s="198" t="s">
        <v>24</v>
      </c>
      <c r="ARM14" s="198"/>
      <c r="ARN14" s="198"/>
      <c r="ARO14" s="198"/>
      <c r="ARP14" s="129"/>
      <c r="ARQ14" s="129"/>
      <c r="ARR14" s="197" t="s">
        <v>36</v>
      </c>
      <c r="ARS14" s="197"/>
      <c r="ART14" s="197"/>
      <c r="ARU14" s="197"/>
      <c r="ARV14" s="104"/>
      <c r="ARW14" s="104"/>
      <c r="ARX14" s="198" t="s">
        <v>25</v>
      </c>
      <c r="ARY14" s="198"/>
      <c r="ARZ14" s="198"/>
      <c r="ASA14" s="198"/>
      <c r="ASB14" s="129"/>
      <c r="ASC14" s="129"/>
      <c r="ASD14" s="197" t="s">
        <v>37</v>
      </c>
      <c r="ASE14" s="197"/>
      <c r="ASF14" s="197"/>
      <c r="ASG14" s="197"/>
      <c r="ASH14" s="104"/>
      <c r="ASI14" s="104"/>
      <c r="ASJ14" s="198" t="s">
        <v>26</v>
      </c>
      <c r="ASK14" s="198"/>
      <c r="ASL14" s="198"/>
      <c r="ASM14" s="198"/>
      <c r="ASN14" s="129"/>
      <c r="ASO14" s="129"/>
      <c r="ASP14" s="197" t="s">
        <v>38</v>
      </c>
      <c r="ASQ14" s="197"/>
      <c r="ASR14" s="197"/>
      <c r="ASS14" s="197"/>
      <c r="AST14" s="104"/>
      <c r="ASU14" s="104"/>
      <c r="ASV14" s="198" t="s">
        <v>27</v>
      </c>
      <c r="ASW14" s="198"/>
      <c r="ASX14" s="198"/>
      <c r="ASY14" s="198"/>
      <c r="ASZ14" s="129"/>
      <c r="ATA14" s="129"/>
      <c r="ATB14" s="197" t="s">
        <v>39</v>
      </c>
      <c r="ATC14" s="197"/>
      <c r="ATD14" s="197"/>
      <c r="ATE14" s="197"/>
      <c r="ATF14" s="104"/>
      <c r="ATG14" s="104"/>
      <c r="ATH14" s="104"/>
      <c r="ATI14" s="105"/>
      <c r="ATJ14" s="103"/>
      <c r="ATK14" s="104"/>
      <c r="ATL14" s="104"/>
      <c r="ATM14" s="104"/>
      <c r="ATN14" s="197" t="s">
        <v>35</v>
      </c>
      <c r="ATO14" s="197"/>
      <c r="ATP14" s="197"/>
      <c r="ATQ14" s="197"/>
      <c r="ATR14" s="104"/>
      <c r="ATS14" s="104"/>
      <c r="ATT14" s="198" t="s">
        <v>24</v>
      </c>
      <c r="ATU14" s="198"/>
      <c r="ATV14" s="198"/>
      <c r="ATW14" s="198"/>
      <c r="ATX14" s="129"/>
      <c r="ATY14" s="129"/>
      <c r="ATZ14" s="197" t="s">
        <v>36</v>
      </c>
      <c r="AUA14" s="197"/>
      <c r="AUB14" s="197"/>
      <c r="AUC14" s="197"/>
      <c r="AUD14" s="104"/>
      <c r="AUE14" s="104"/>
      <c r="AUF14" s="198" t="s">
        <v>25</v>
      </c>
      <c r="AUG14" s="198"/>
      <c r="AUH14" s="198"/>
      <c r="AUI14" s="198"/>
      <c r="AUJ14" s="129"/>
      <c r="AUK14" s="129"/>
      <c r="AUL14" s="197" t="s">
        <v>37</v>
      </c>
      <c r="AUM14" s="197"/>
      <c r="AUN14" s="197"/>
      <c r="AUO14" s="197"/>
      <c r="AUP14" s="104"/>
      <c r="AUQ14" s="104"/>
      <c r="AUR14" s="198" t="s">
        <v>26</v>
      </c>
      <c r="AUS14" s="198"/>
      <c r="AUT14" s="198"/>
      <c r="AUU14" s="198"/>
      <c r="AUV14" s="129"/>
      <c r="AUW14" s="129"/>
      <c r="AUX14" s="197" t="s">
        <v>38</v>
      </c>
      <c r="AUY14" s="197"/>
      <c r="AUZ14" s="197"/>
      <c r="AVA14" s="197"/>
      <c r="AVB14" s="104"/>
      <c r="AVC14" s="104"/>
      <c r="AVD14" s="198" t="s">
        <v>27</v>
      </c>
      <c r="AVE14" s="198"/>
      <c r="AVF14" s="198"/>
      <c r="AVG14" s="198"/>
      <c r="AVH14" s="129"/>
      <c r="AVI14" s="129"/>
      <c r="AVJ14" s="197" t="s">
        <v>39</v>
      </c>
      <c r="AVK14" s="197"/>
      <c r="AVL14" s="197"/>
      <c r="AVM14" s="197"/>
      <c r="AVN14" s="104"/>
      <c r="AVO14" s="104"/>
      <c r="AVP14" s="104"/>
      <c r="AVQ14" s="105"/>
      <c r="AVR14" s="103"/>
      <c r="AVS14" s="104"/>
      <c r="AVT14" s="104"/>
      <c r="AVU14" s="104"/>
      <c r="AVV14" s="197" t="s">
        <v>35</v>
      </c>
      <c r="AVW14" s="197"/>
      <c r="AVX14" s="197"/>
      <c r="AVY14" s="197"/>
      <c r="AVZ14" s="104"/>
      <c r="AWA14" s="104"/>
      <c r="AWB14" s="198" t="s">
        <v>24</v>
      </c>
      <c r="AWC14" s="198"/>
      <c r="AWD14" s="198"/>
      <c r="AWE14" s="198"/>
      <c r="AWF14" s="129"/>
      <c r="AWG14" s="129"/>
      <c r="AWH14" s="197" t="s">
        <v>36</v>
      </c>
      <c r="AWI14" s="197"/>
      <c r="AWJ14" s="197"/>
      <c r="AWK14" s="197"/>
      <c r="AWL14" s="104"/>
      <c r="AWM14" s="104"/>
      <c r="AWN14" s="198" t="s">
        <v>25</v>
      </c>
      <c r="AWO14" s="198"/>
      <c r="AWP14" s="198"/>
      <c r="AWQ14" s="198"/>
      <c r="AWR14" s="129"/>
      <c r="AWS14" s="129"/>
      <c r="AWT14" s="197" t="s">
        <v>37</v>
      </c>
      <c r="AWU14" s="197"/>
      <c r="AWV14" s="197"/>
      <c r="AWW14" s="197"/>
      <c r="AWX14" s="104"/>
      <c r="AWY14" s="104"/>
      <c r="AWZ14" s="198" t="s">
        <v>26</v>
      </c>
      <c r="AXA14" s="198"/>
      <c r="AXB14" s="198"/>
      <c r="AXC14" s="198"/>
      <c r="AXD14" s="129"/>
      <c r="AXE14" s="129"/>
      <c r="AXF14" s="197" t="s">
        <v>38</v>
      </c>
      <c r="AXG14" s="197"/>
      <c r="AXH14" s="197"/>
      <c r="AXI14" s="197"/>
      <c r="AXJ14" s="104"/>
      <c r="AXK14" s="104"/>
      <c r="AXL14" s="198" t="s">
        <v>27</v>
      </c>
      <c r="AXM14" s="198"/>
      <c r="AXN14" s="198"/>
      <c r="AXO14" s="198"/>
      <c r="AXP14" s="129"/>
      <c r="AXQ14" s="129"/>
      <c r="AXR14" s="197" t="s">
        <v>39</v>
      </c>
      <c r="AXS14" s="197"/>
      <c r="AXT14" s="197"/>
      <c r="AXU14" s="197"/>
      <c r="AXV14" s="104"/>
      <c r="AXW14" s="104"/>
      <c r="AXX14" s="104"/>
      <c r="AXY14" s="105"/>
      <c r="AXZ14" s="103"/>
      <c r="AYA14" s="104"/>
      <c r="AYB14" s="104"/>
      <c r="AYC14" s="104"/>
      <c r="AYD14" s="197" t="s">
        <v>35</v>
      </c>
      <c r="AYE14" s="197"/>
      <c r="AYF14" s="197"/>
      <c r="AYG14" s="197"/>
      <c r="AYH14" s="104"/>
      <c r="AYI14" s="104"/>
      <c r="AYJ14" s="198" t="s">
        <v>24</v>
      </c>
      <c r="AYK14" s="198"/>
      <c r="AYL14" s="198"/>
      <c r="AYM14" s="198"/>
      <c r="AYN14" s="129"/>
      <c r="AYO14" s="129"/>
      <c r="AYP14" s="197" t="s">
        <v>36</v>
      </c>
      <c r="AYQ14" s="197"/>
      <c r="AYR14" s="197"/>
      <c r="AYS14" s="197"/>
      <c r="AYT14" s="104"/>
      <c r="AYU14" s="104"/>
      <c r="AYV14" s="198" t="s">
        <v>25</v>
      </c>
      <c r="AYW14" s="198"/>
      <c r="AYX14" s="198"/>
      <c r="AYY14" s="198"/>
      <c r="AYZ14" s="129"/>
      <c r="AZA14" s="129"/>
      <c r="AZB14" s="197" t="s">
        <v>37</v>
      </c>
      <c r="AZC14" s="197"/>
      <c r="AZD14" s="197"/>
      <c r="AZE14" s="197"/>
      <c r="AZF14" s="104"/>
      <c r="AZG14" s="104"/>
      <c r="AZH14" s="198" t="s">
        <v>26</v>
      </c>
      <c r="AZI14" s="198"/>
      <c r="AZJ14" s="198"/>
      <c r="AZK14" s="198"/>
      <c r="AZL14" s="129"/>
      <c r="AZM14" s="129"/>
      <c r="AZN14" s="197" t="s">
        <v>38</v>
      </c>
      <c r="AZO14" s="197"/>
      <c r="AZP14" s="197"/>
      <c r="AZQ14" s="197"/>
      <c r="AZR14" s="104"/>
      <c r="AZS14" s="104"/>
      <c r="AZT14" s="198" t="s">
        <v>27</v>
      </c>
      <c r="AZU14" s="198"/>
      <c r="AZV14" s="198"/>
      <c r="AZW14" s="198"/>
      <c r="AZX14" s="129"/>
      <c r="AZY14" s="129"/>
      <c r="AZZ14" s="197" t="s">
        <v>39</v>
      </c>
      <c r="BAA14" s="197"/>
      <c r="BAB14" s="197"/>
      <c r="BAC14" s="197"/>
      <c r="BAD14" s="104"/>
      <c r="BAE14" s="104"/>
      <c r="BAF14" s="104"/>
      <c r="BAG14" s="105"/>
      <c r="BAH14" s="103"/>
      <c r="BAI14" s="104"/>
      <c r="BAJ14" s="104"/>
      <c r="BAK14" s="104"/>
      <c r="BAL14" s="197" t="s">
        <v>35</v>
      </c>
      <c r="BAM14" s="197"/>
      <c r="BAN14" s="197"/>
      <c r="BAO14" s="197"/>
      <c r="BAP14" s="104"/>
      <c r="BAQ14" s="104"/>
      <c r="BAR14" s="198" t="s">
        <v>24</v>
      </c>
      <c r="BAS14" s="198"/>
      <c r="BAT14" s="198"/>
      <c r="BAU14" s="198"/>
      <c r="BAV14" s="129"/>
      <c r="BAW14" s="129"/>
      <c r="BAX14" s="197" t="s">
        <v>36</v>
      </c>
      <c r="BAY14" s="197"/>
      <c r="BAZ14" s="197"/>
      <c r="BBA14" s="197"/>
      <c r="BBB14" s="104"/>
      <c r="BBC14" s="104"/>
      <c r="BBD14" s="198" t="s">
        <v>25</v>
      </c>
      <c r="BBE14" s="198"/>
      <c r="BBF14" s="198"/>
      <c r="BBG14" s="198"/>
      <c r="BBH14" s="129"/>
      <c r="BBI14" s="129"/>
      <c r="BBJ14" s="197" t="s">
        <v>37</v>
      </c>
      <c r="BBK14" s="197"/>
      <c r="BBL14" s="197"/>
      <c r="BBM14" s="197"/>
      <c r="BBN14" s="104"/>
      <c r="BBO14" s="104"/>
      <c r="BBP14" s="198" t="s">
        <v>26</v>
      </c>
      <c r="BBQ14" s="198"/>
      <c r="BBR14" s="198"/>
      <c r="BBS14" s="198"/>
      <c r="BBT14" s="129"/>
      <c r="BBU14" s="129"/>
      <c r="BBV14" s="197" t="s">
        <v>38</v>
      </c>
      <c r="BBW14" s="197"/>
      <c r="BBX14" s="197"/>
      <c r="BBY14" s="197"/>
      <c r="BBZ14" s="104"/>
      <c r="BCA14" s="104"/>
      <c r="BCB14" s="198" t="s">
        <v>27</v>
      </c>
      <c r="BCC14" s="198"/>
      <c r="BCD14" s="198"/>
      <c r="BCE14" s="198"/>
      <c r="BCF14" s="129"/>
      <c r="BCG14" s="129"/>
      <c r="BCH14" s="197" t="s">
        <v>39</v>
      </c>
      <c r="BCI14" s="197"/>
      <c r="BCJ14" s="197"/>
      <c r="BCK14" s="197"/>
      <c r="BCL14" s="104"/>
      <c r="BCM14" s="104"/>
      <c r="BCN14" s="104"/>
      <c r="BCO14" s="105"/>
      <c r="BCP14" s="103"/>
      <c r="BCQ14" s="104"/>
      <c r="BCR14" s="104"/>
      <c r="BCS14" s="104"/>
      <c r="BCT14" s="197" t="s">
        <v>35</v>
      </c>
      <c r="BCU14" s="197"/>
      <c r="BCV14" s="197"/>
      <c r="BCW14" s="197"/>
      <c r="BCX14" s="104"/>
      <c r="BCY14" s="104"/>
      <c r="BCZ14" s="198" t="s">
        <v>24</v>
      </c>
      <c r="BDA14" s="198"/>
      <c r="BDB14" s="198"/>
      <c r="BDC14" s="198"/>
      <c r="BDD14" s="129"/>
      <c r="BDE14" s="129"/>
      <c r="BDF14" s="197" t="s">
        <v>36</v>
      </c>
      <c r="BDG14" s="197"/>
      <c r="BDH14" s="197"/>
      <c r="BDI14" s="197"/>
      <c r="BDJ14" s="104"/>
      <c r="BDK14" s="104"/>
      <c r="BDL14" s="198" t="s">
        <v>25</v>
      </c>
      <c r="BDM14" s="198"/>
      <c r="BDN14" s="198"/>
      <c r="BDO14" s="198"/>
      <c r="BDP14" s="129"/>
      <c r="BDQ14" s="129"/>
      <c r="BDR14" s="197" t="s">
        <v>37</v>
      </c>
      <c r="BDS14" s="197"/>
      <c r="BDT14" s="197"/>
      <c r="BDU14" s="197"/>
      <c r="BDV14" s="104"/>
      <c r="BDW14" s="104"/>
      <c r="BDX14" s="198" t="s">
        <v>26</v>
      </c>
      <c r="BDY14" s="198"/>
      <c r="BDZ14" s="198"/>
      <c r="BEA14" s="198"/>
      <c r="BEB14" s="129"/>
      <c r="BEC14" s="129"/>
      <c r="BED14" s="197" t="s">
        <v>38</v>
      </c>
      <c r="BEE14" s="197"/>
      <c r="BEF14" s="197"/>
      <c r="BEG14" s="197"/>
      <c r="BEH14" s="104"/>
      <c r="BEI14" s="104"/>
      <c r="BEJ14" s="198" t="s">
        <v>27</v>
      </c>
      <c r="BEK14" s="198"/>
      <c r="BEL14" s="198"/>
      <c r="BEM14" s="198"/>
      <c r="BEN14" s="129"/>
      <c r="BEO14" s="129"/>
      <c r="BEP14" s="197" t="s">
        <v>39</v>
      </c>
      <c r="BEQ14" s="197"/>
      <c r="BER14" s="197"/>
      <c r="BES14" s="197"/>
      <c r="BET14" s="104"/>
      <c r="BEU14" s="104"/>
      <c r="BEV14" s="104"/>
      <c r="BEW14" s="105"/>
      <c r="BEX14" s="103"/>
      <c r="BEY14" s="104"/>
      <c r="BEZ14" s="104"/>
      <c r="BFA14" s="104"/>
      <c r="BFB14" s="197" t="s">
        <v>35</v>
      </c>
      <c r="BFC14" s="197"/>
      <c r="BFD14" s="197"/>
      <c r="BFE14" s="197"/>
      <c r="BFF14" s="104"/>
      <c r="BFG14" s="104"/>
      <c r="BFH14" s="198" t="s">
        <v>24</v>
      </c>
      <c r="BFI14" s="198"/>
      <c r="BFJ14" s="198"/>
      <c r="BFK14" s="198"/>
      <c r="BFL14" s="129"/>
      <c r="BFM14" s="129"/>
      <c r="BFN14" s="197" t="s">
        <v>36</v>
      </c>
      <c r="BFO14" s="197"/>
      <c r="BFP14" s="197"/>
      <c r="BFQ14" s="197"/>
      <c r="BFR14" s="104"/>
      <c r="BFS14" s="104"/>
      <c r="BFT14" s="198" t="s">
        <v>25</v>
      </c>
      <c r="BFU14" s="198"/>
      <c r="BFV14" s="198"/>
      <c r="BFW14" s="198"/>
      <c r="BFX14" s="129"/>
      <c r="BFY14" s="129"/>
      <c r="BFZ14" s="197" t="s">
        <v>37</v>
      </c>
      <c r="BGA14" s="197"/>
      <c r="BGB14" s="197"/>
      <c r="BGC14" s="197"/>
      <c r="BGD14" s="104"/>
      <c r="BGE14" s="104"/>
      <c r="BGF14" s="198" t="s">
        <v>26</v>
      </c>
      <c r="BGG14" s="198"/>
      <c r="BGH14" s="198"/>
      <c r="BGI14" s="198"/>
      <c r="BGJ14" s="129"/>
      <c r="BGK14" s="129"/>
      <c r="BGL14" s="197" t="s">
        <v>38</v>
      </c>
      <c r="BGM14" s="197"/>
      <c r="BGN14" s="197"/>
      <c r="BGO14" s="197"/>
      <c r="BGP14" s="104"/>
      <c r="BGQ14" s="104"/>
      <c r="BGR14" s="198" t="s">
        <v>27</v>
      </c>
      <c r="BGS14" s="198"/>
      <c r="BGT14" s="198"/>
      <c r="BGU14" s="198"/>
      <c r="BGV14" s="129"/>
      <c r="BGW14" s="129"/>
      <c r="BGX14" s="197" t="s">
        <v>39</v>
      </c>
      <c r="BGY14" s="197"/>
      <c r="BGZ14" s="197"/>
      <c r="BHA14" s="197"/>
      <c r="BHB14" s="104"/>
      <c r="BHC14" s="104"/>
      <c r="BHD14" s="104"/>
      <c r="BHE14" s="105"/>
      <c r="BHF14" s="90"/>
    </row>
    <row r="15" spans="1:1866" ht="20.100000000000001" customHeight="1" x14ac:dyDescent="0.25">
      <c r="A15" s="100" t="s">
        <v>20</v>
      </c>
      <c r="B15" s="63" t="str">
        <f>IF(LEN(C15)=0,"",C15)</f>
        <v xml:space="preserve">Absences - imprévus </v>
      </c>
      <c r="C15" s="219" t="s">
        <v>4</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165"/>
      <c r="BHG15" s="166"/>
      <c r="BHH15" s="166"/>
      <c r="BHI15" s="166"/>
      <c r="BHJ15" s="166"/>
      <c r="BHK15" s="166"/>
      <c r="BHL15" s="166"/>
      <c r="BHM15" s="166"/>
      <c r="BHN15" s="166"/>
      <c r="BHO15" s="166"/>
      <c r="BHP15" s="166"/>
      <c r="BHQ15" s="166"/>
      <c r="BHR15" s="166"/>
      <c r="BHS15" s="166"/>
      <c r="BHT15" s="166"/>
      <c r="BHU15" s="166"/>
      <c r="BHV15" s="166"/>
      <c r="BHW15" s="166"/>
      <c r="BHX15" s="166"/>
      <c r="BHY15" s="166"/>
      <c r="BHZ15" s="166"/>
      <c r="BIA15" s="166"/>
      <c r="BIB15" s="166"/>
      <c r="BIC15" s="166"/>
      <c r="BID15" s="166"/>
      <c r="BIE15" s="166"/>
      <c r="BIF15" s="166"/>
      <c r="BIG15" s="166"/>
      <c r="BIH15" s="166"/>
      <c r="BII15" s="166"/>
      <c r="BIJ15" s="166"/>
      <c r="BIK15" s="166"/>
      <c r="BIL15" s="166"/>
      <c r="BIM15" s="166"/>
      <c r="BIN15" s="166"/>
      <c r="BIO15" s="166"/>
      <c r="BIP15" s="166"/>
      <c r="BIQ15" s="166"/>
      <c r="BIR15" s="166"/>
      <c r="BIS15" s="166"/>
      <c r="BIT15" s="166"/>
      <c r="BIU15" s="166"/>
      <c r="BIV15" s="166"/>
      <c r="BIW15" s="166"/>
      <c r="BIX15" s="166"/>
      <c r="BIY15" s="166"/>
      <c r="BIZ15" s="166"/>
      <c r="BJA15" s="166"/>
      <c r="BJB15" s="166"/>
      <c r="BJC15" s="166"/>
      <c r="BJD15" s="166"/>
      <c r="BJE15" s="166"/>
      <c r="BJF15" s="166"/>
      <c r="BJG15" s="166"/>
      <c r="BJH15" s="166"/>
      <c r="BJI15" s="166"/>
      <c r="BJJ15" s="166"/>
      <c r="BJK15" s="166"/>
      <c r="BJL15" s="166"/>
      <c r="BJM15" s="166"/>
      <c r="BJN15" s="166"/>
      <c r="BJO15" s="166"/>
      <c r="BJP15" s="166"/>
      <c r="BJQ15" s="166"/>
      <c r="BJR15" s="166"/>
      <c r="BJS15" s="166"/>
      <c r="BJT15" s="166"/>
      <c r="BJU15" s="166"/>
      <c r="BJV15" s="166"/>
      <c r="BJW15" s="166"/>
      <c r="BJX15" s="166"/>
      <c r="BJY15" s="166"/>
      <c r="BJZ15" s="166"/>
      <c r="BKA15" s="166"/>
      <c r="BKB15" s="166"/>
      <c r="BKC15" s="166"/>
      <c r="BKD15" s="166"/>
      <c r="BKE15" s="166"/>
      <c r="BKF15" s="166"/>
      <c r="BKG15" s="166"/>
      <c r="BKH15" s="166"/>
      <c r="BKI15" s="166"/>
      <c r="BKJ15" s="166"/>
      <c r="BKK15" s="166"/>
      <c r="BKL15" s="166"/>
      <c r="BKM15" s="166"/>
      <c r="BKN15" s="166"/>
      <c r="BKO15" s="166"/>
      <c r="BKP15" s="166"/>
      <c r="BKQ15" s="166"/>
      <c r="BKR15" s="166"/>
      <c r="BKS15" s="166"/>
      <c r="BKT15" s="166"/>
      <c r="BKU15" s="166"/>
      <c r="BKV15" s="166"/>
      <c r="BKW15" s="166"/>
      <c r="BKX15" s="166"/>
      <c r="BKY15" s="166"/>
      <c r="BKZ15" s="166"/>
      <c r="BLA15" s="166"/>
      <c r="BLB15" s="166"/>
      <c r="BLC15" s="166"/>
      <c r="BLD15" s="166"/>
      <c r="BLE15" s="166"/>
      <c r="BLF15" s="166"/>
      <c r="BLG15" s="166"/>
      <c r="BLH15" s="166"/>
      <c r="BLI15" s="166"/>
      <c r="BLJ15" s="166"/>
      <c r="BLK15" s="166"/>
      <c r="BLL15" s="166"/>
      <c r="BLM15" s="166"/>
      <c r="BLN15" s="166"/>
      <c r="BLO15" s="166"/>
      <c r="BLP15" s="166"/>
      <c r="BLQ15" s="166"/>
      <c r="BLR15" s="166"/>
      <c r="BLS15" s="166"/>
      <c r="BLT15" s="166"/>
      <c r="BLU15" s="166"/>
      <c r="BLV15" s="166"/>
      <c r="BLW15" s="166"/>
      <c r="BLX15" s="166"/>
      <c r="BLY15" s="166"/>
      <c r="BLZ15" s="166"/>
      <c r="BMA15" s="166"/>
      <c r="BMB15" s="166"/>
      <c r="BMC15" s="166"/>
      <c r="BMD15" s="166"/>
      <c r="BME15" s="166"/>
      <c r="BMF15" s="166"/>
      <c r="BMG15" s="166"/>
      <c r="BMH15" s="166"/>
      <c r="BMI15" s="166"/>
      <c r="BMJ15" s="166"/>
      <c r="BMK15" s="166"/>
      <c r="BML15" s="166"/>
      <c r="BMM15" s="166"/>
      <c r="BMN15" s="166"/>
      <c r="BMO15" s="166"/>
      <c r="BMP15" s="166"/>
      <c r="BMQ15" s="166"/>
      <c r="BMR15" s="166"/>
      <c r="BMS15" s="166"/>
      <c r="BMT15" s="166"/>
      <c r="BMU15" s="166"/>
      <c r="BMV15" s="166"/>
      <c r="BMW15" s="166"/>
      <c r="BMX15" s="166"/>
      <c r="BMY15" s="166"/>
      <c r="BMZ15" s="166"/>
      <c r="BNA15" s="166"/>
      <c r="BNB15" s="166"/>
      <c r="BNC15" s="166"/>
      <c r="BND15" s="166"/>
      <c r="BNE15" s="166"/>
      <c r="BNF15" s="166"/>
      <c r="BNG15" s="166"/>
      <c r="BNH15" s="166"/>
      <c r="BNI15" s="166"/>
      <c r="BNJ15" s="166"/>
      <c r="BNK15" s="166"/>
      <c r="BNL15" s="166"/>
      <c r="BNM15" s="166"/>
      <c r="BNN15" s="166"/>
      <c r="BNO15" s="166"/>
      <c r="BNP15" s="166"/>
      <c r="BNQ15" s="166"/>
      <c r="BNR15" s="166"/>
      <c r="BNS15" s="166"/>
      <c r="BNT15" s="166"/>
      <c r="BNU15" s="166"/>
      <c r="BNV15" s="166"/>
      <c r="BNW15" s="166"/>
      <c r="BNX15" s="166"/>
      <c r="BNY15" s="166"/>
      <c r="BNZ15" s="166"/>
      <c r="BOA15" s="166"/>
      <c r="BOB15" s="166"/>
      <c r="BOC15" s="166"/>
      <c r="BOD15" s="166"/>
      <c r="BOE15" s="166"/>
      <c r="BOF15" s="166"/>
      <c r="BOG15" s="166"/>
      <c r="BOH15" s="166"/>
      <c r="BOI15" s="166"/>
      <c r="BOJ15" s="166"/>
      <c r="BOK15" s="166"/>
      <c r="BOL15" s="166"/>
      <c r="BOM15" s="166"/>
      <c r="BON15" s="166"/>
      <c r="BOO15" s="166"/>
      <c r="BOP15" s="166"/>
      <c r="BOQ15" s="166"/>
      <c r="BOR15" s="166"/>
      <c r="BOS15" s="166"/>
      <c r="BOT15" s="166"/>
      <c r="BOU15" s="166"/>
      <c r="BOV15" s="166"/>
      <c r="BOW15" s="166"/>
      <c r="BOX15" s="166"/>
      <c r="BOY15" s="166"/>
      <c r="BOZ15" s="166"/>
      <c r="BPA15" s="166"/>
      <c r="BPB15" s="166"/>
      <c r="BPC15" s="166"/>
      <c r="BPD15" s="166"/>
      <c r="BPE15" s="166"/>
      <c r="BPF15" s="166"/>
      <c r="BPG15" s="166"/>
      <c r="BPH15" s="166"/>
      <c r="BPI15" s="166"/>
      <c r="BPJ15" s="166"/>
      <c r="BPK15" s="166"/>
      <c r="BPL15" s="166"/>
      <c r="BPM15" s="166"/>
      <c r="BPN15" s="166"/>
      <c r="BPO15" s="166"/>
      <c r="BPP15" s="166"/>
      <c r="BPQ15" s="166"/>
      <c r="BPR15" s="166"/>
      <c r="BPS15" s="166"/>
      <c r="BPT15" s="166"/>
      <c r="BPU15" s="166"/>
      <c r="BPV15" s="166"/>
      <c r="BPW15" s="166"/>
      <c r="BPX15" s="166"/>
      <c r="BPY15" s="166"/>
      <c r="BPZ15" s="166"/>
      <c r="BQA15" s="166"/>
      <c r="BQB15" s="166"/>
      <c r="BQC15" s="166"/>
      <c r="BQD15" s="166"/>
      <c r="BQE15" s="166"/>
      <c r="BQF15" s="166"/>
      <c r="BQG15" s="166"/>
      <c r="BQH15" s="166"/>
      <c r="BQI15" s="166"/>
      <c r="BQJ15" s="166"/>
      <c r="BQK15" s="166"/>
      <c r="BQL15" s="166"/>
      <c r="BQM15" s="166"/>
      <c r="BQN15" s="166"/>
      <c r="BQO15" s="166"/>
      <c r="BQP15" s="166"/>
      <c r="BQQ15" s="166"/>
      <c r="BQR15" s="166"/>
      <c r="BQS15" s="166"/>
      <c r="BQT15" s="166"/>
      <c r="BQU15" s="166"/>
      <c r="BQV15" s="166"/>
      <c r="BQW15" s="166"/>
      <c r="BQX15" s="166"/>
      <c r="BQY15" s="166"/>
      <c r="BQZ15" s="166"/>
      <c r="BRA15" s="166"/>
      <c r="BRB15" s="166"/>
      <c r="BRC15" s="166"/>
      <c r="BRD15" s="166"/>
      <c r="BRE15" s="166"/>
      <c r="BRF15" s="166"/>
      <c r="BRG15" s="166"/>
      <c r="BRH15" s="166"/>
      <c r="BRI15" s="166"/>
      <c r="BRJ15" s="166"/>
      <c r="BRK15" s="166"/>
      <c r="BRL15" s="166"/>
      <c r="BRM15" s="166"/>
      <c r="BRN15" s="166"/>
      <c r="BRO15" s="166"/>
      <c r="BRP15" s="166"/>
      <c r="BRQ15" s="166"/>
      <c r="BRR15" s="166"/>
      <c r="BRS15" s="166"/>
      <c r="BRT15" s="166"/>
      <c r="BRU15" s="166"/>
      <c r="BRV15" s="166"/>
      <c r="BRW15" s="166"/>
      <c r="BRX15" s="166"/>
      <c r="BRY15" s="166"/>
      <c r="BRZ15" s="166"/>
      <c r="BSA15" s="166"/>
      <c r="BSB15" s="166"/>
      <c r="BSC15" s="166"/>
      <c r="BSD15" s="166"/>
      <c r="BSE15" s="166"/>
      <c r="BSF15" s="166"/>
      <c r="BSG15" s="166"/>
      <c r="BSH15" s="166"/>
      <c r="BSI15" s="166"/>
      <c r="BSJ15" s="166"/>
      <c r="BSK15" s="166"/>
      <c r="BSL15" s="166"/>
      <c r="BSM15" s="166"/>
      <c r="BSN15" s="166"/>
      <c r="BSO15" s="166"/>
      <c r="BSP15" s="166"/>
      <c r="BSQ15" s="166"/>
      <c r="BSR15" s="166"/>
      <c r="BSS15" s="166"/>
    </row>
    <row r="16" spans="1:1866" ht="20.100000000000001" customHeight="1" x14ac:dyDescent="0.25">
      <c r="A16" s="100" t="s">
        <v>21</v>
      </c>
      <c r="B16" s="63" t="str">
        <f>IF(LEN(C17)=0,"",C17)</f>
        <v>Analyse - Planification initiale</v>
      </c>
      <c r="C16" s="208"/>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165"/>
      <c r="BHG16" s="166"/>
      <c r="BHH16" s="166"/>
      <c r="BHI16" s="166"/>
      <c r="BHJ16" s="166"/>
      <c r="BHK16" s="166"/>
      <c r="BHL16" s="166"/>
      <c r="BHM16" s="166"/>
      <c r="BHN16" s="166"/>
      <c r="BHO16" s="166"/>
      <c r="BHP16" s="166"/>
      <c r="BHQ16" s="166"/>
      <c r="BHR16" s="166"/>
      <c r="BHS16" s="166"/>
      <c r="BHT16" s="166"/>
      <c r="BHU16" s="166"/>
      <c r="BHV16" s="166"/>
      <c r="BHW16" s="166"/>
      <c r="BHX16" s="166"/>
      <c r="BHY16" s="166"/>
      <c r="BHZ16" s="166"/>
      <c r="BIA16" s="166"/>
      <c r="BIB16" s="166"/>
      <c r="BIC16" s="166"/>
      <c r="BID16" s="166"/>
      <c r="BIE16" s="166"/>
      <c r="BIF16" s="166"/>
      <c r="BIG16" s="166"/>
      <c r="BIH16" s="166"/>
      <c r="BII16" s="166"/>
      <c r="BIJ16" s="166"/>
      <c r="BIK16" s="166"/>
      <c r="BIL16" s="166"/>
      <c r="BIM16" s="166"/>
      <c r="BIN16" s="166"/>
      <c r="BIO16" s="166"/>
      <c r="BIP16" s="166"/>
      <c r="BIQ16" s="166"/>
      <c r="BIR16" s="166"/>
      <c r="BIS16" s="166"/>
      <c r="BIT16" s="166"/>
      <c r="BIU16" s="166"/>
      <c r="BIV16" s="166"/>
      <c r="BIW16" s="166"/>
      <c r="BIX16" s="166"/>
      <c r="BIY16" s="166"/>
      <c r="BIZ16" s="166"/>
      <c r="BJA16" s="166"/>
      <c r="BJB16" s="166"/>
      <c r="BJC16" s="166"/>
      <c r="BJD16" s="166"/>
      <c r="BJE16" s="166"/>
      <c r="BJF16" s="166"/>
      <c r="BJG16" s="166"/>
      <c r="BJH16" s="166"/>
      <c r="BJI16" s="166"/>
      <c r="BJJ16" s="166"/>
      <c r="BJK16" s="166"/>
      <c r="BJL16" s="166"/>
      <c r="BJM16" s="166"/>
      <c r="BJN16" s="166"/>
      <c r="BJO16" s="166"/>
      <c r="BJP16" s="166"/>
      <c r="BJQ16" s="166"/>
      <c r="BJR16" s="166"/>
      <c r="BJS16" s="166"/>
      <c r="BJT16" s="166"/>
      <c r="BJU16" s="166"/>
      <c r="BJV16" s="166"/>
      <c r="BJW16" s="166"/>
      <c r="BJX16" s="166"/>
      <c r="BJY16" s="166"/>
      <c r="BJZ16" s="166"/>
      <c r="BKA16" s="166"/>
      <c r="BKB16" s="166"/>
      <c r="BKC16" s="166"/>
      <c r="BKD16" s="166"/>
      <c r="BKE16" s="166"/>
      <c r="BKF16" s="166"/>
      <c r="BKG16" s="166"/>
      <c r="BKH16" s="166"/>
      <c r="BKI16" s="166"/>
      <c r="BKJ16" s="166"/>
      <c r="BKK16" s="166"/>
      <c r="BKL16" s="166"/>
      <c r="BKM16" s="166"/>
      <c r="BKN16" s="166"/>
      <c r="BKO16" s="166"/>
      <c r="BKP16" s="166"/>
      <c r="BKQ16" s="166"/>
      <c r="BKR16" s="166"/>
      <c r="BKS16" s="166"/>
      <c r="BKT16" s="166"/>
      <c r="BKU16" s="166"/>
      <c r="BKV16" s="166"/>
      <c r="BKW16" s="166"/>
      <c r="BKX16" s="166"/>
      <c r="BKY16" s="166"/>
      <c r="BKZ16" s="166"/>
      <c r="BLA16" s="166"/>
      <c r="BLB16" s="166"/>
      <c r="BLC16" s="166"/>
      <c r="BLD16" s="166"/>
      <c r="BLE16" s="166"/>
      <c r="BLF16" s="166"/>
      <c r="BLG16" s="166"/>
      <c r="BLH16" s="166"/>
      <c r="BLI16" s="166"/>
      <c r="BLJ16" s="166"/>
      <c r="BLK16" s="166"/>
      <c r="BLL16" s="166"/>
      <c r="BLM16" s="166"/>
      <c r="BLN16" s="166"/>
      <c r="BLO16" s="166"/>
      <c r="BLP16" s="166"/>
      <c r="BLQ16" s="166"/>
      <c r="BLR16" s="166"/>
      <c r="BLS16" s="166"/>
      <c r="BLT16" s="166"/>
      <c r="BLU16" s="166"/>
      <c r="BLV16" s="166"/>
      <c r="BLW16" s="166"/>
      <c r="BLX16" s="166"/>
      <c r="BLY16" s="166"/>
      <c r="BLZ16" s="166"/>
      <c r="BMA16" s="166"/>
      <c r="BMB16" s="166"/>
      <c r="BMC16" s="166"/>
      <c r="BMD16" s="166"/>
      <c r="BME16" s="166"/>
      <c r="BMF16" s="166"/>
      <c r="BMG16" s="166"/>
      <c r="BMH16" s="166"/>
      <c r="BMI16" s="166"/>
      <c r="BMJ16" s="166"/>
      <c r="BMK16" s="166"/>
      <c r="BML16" s="166"/>
      <c r="BMM16" s="166"/>
      <c r="BMN16" s="166"/>
      <c r="BMO16" s="166"/>
      <c r="BMP16" s="166"/>
      <c r="BMQ16" s="166"/>
      <c r="BMR16" s="166"/>
      <c r="BMS16" s="166"/>
      <c r="BMT16" s="166"/>
      <c r="BMU16" s="166"/>
      <c r="BMV16" s="166"/>
      <c r="BMW16" s="166"/>
      <c r="BMX16" s="166"/>
      <c r="BMY16" s="166"/>
      <c r="BMZ16" s="166"/>
      <c r="BNA16" s="166"/>
      <c r="BNB16" s="166"/>
      <c r="BNC16" s="166"/>
      <c r="BND16" s="166"/>
      <c r="BNE16" s="166"/>
      <c r="BNF16" s="166"/>
      <c r="BNG16" s="166"/>
      <c r="BNH16" s="166"/>
      <c r="BNI16" s="166"/>
      <c r="BNJ16" s="166"/>
      <c r="BNK16" s="166"/>
      <c r="BNL16" s="166"/>
      <c r="BNM16" s="166"/>
      <c r="BNN16" s="166"/>
      <c r="BNO16" s="166"/>
      <c r="BNP16" s="166"/>
      <c r="BNQ16" s="166"/>
      <c r="BNR16" s="166"/>
      <c r="BNS16" s="166"/>
      <c r="BNT16" s="166"/>
      <c r="BNU16" s="166"/>
      <c r="BNV16" s="166"/>
      <c r="BNW16" s="166"/>
      <c r="BNX16" s="166"/>
      <c r="BNY16" s="166"/>
      <c r="BNZ16" s="166"/>
      <c r="BOA16" s="166"/>
      <c r="BOB16" s="166"/>
      <c r="BOC16" s="166"/>
      <c r="BOD16" s="166"/>
      <c r="BOE16" s="166"/>
      <c r="BOF16" s="166"/>
      <c r="BOG16" s="166"/>
      <c r="BOH16" s="166"/>
      <c r="BOI16" s="166"/>
      <c r="BOJ16" s="166"/>
      <c r="BOK16" s="166"/>
      <c r="BOL16" s="166"/>
      <c r="BOM16" s="166"/>
      <c r="BON16" s="166"/>
      <c r="BOO16" s="166"/>
      <c r="BOP16" s="166"/>
      <c r="BOQ16" s="166"/>
      <c r="BOR16" s="166"/>
      <c r="BOS16" s="166"/>
      <c r="BOT16" s="166"/>
      <c r="BOU16" s="166"/>
      <c r="BOV16" s="166"/>
      <c r="BOW16" s="166"/>
      <c r="BOX16" s="166"/>
      <c r="BOY16" s="166"/>
      <c r="BOZ16" s="166"/>
      <c r="BPA16" s="166"/>
      <c r="BPB16" s="166"/>
      <c r="BPC16" s="166"/>
      <c r="BPD16" s="166"/>
      <c r="BPE16" s="166"/>
      <c r="BPF16" s="166"/>
      <c r="BPG16" s="166"/>
      <c r="BPH16" s="166"/>
      <c r="BPI16" s="166"/>
      <c r="BPJ16" s="166"/>
      <c r="BPK16" s="166"/>
      <c r="BPL16" s="166"/>
      <c r="BPM16" s="166"/>
      <c r="BPN16" s="166"/>
      <c r="BPO16" s="166"/>
      <c r="BPP16" s="166"/>
      <c r="BPQ16" s="166"/>
      <c r="BPR16" s="166"/>
      <c r="BPS16" s="166"/>
      <c r="BPT16" s="166"/>
      <c r="BPU16" s="166"/>
      <c r="BPV16" s="166"/>
      <c r="BPW16" s="166"/>
      <c r="BPX16" s="166"/>
      <c r="BPY16" s="166"/>
      <c r="BPZ16" s="166"/>
      <c r="BQA16" s="166"/>
      <c r="BQB16" s="166"/>
      <c r="BQC16" s="166"/>
      <c r="BQD16" s="166"/>
      <c r="BQE16" s="166"/>
      <c r="BQF16" s="166"/>
      <c r="BQG16" s="166"/>
      <c r="BQH16" s="166"/>
      <c r="BQI16" s="166"/>
      <c r="BQJ16" s="166"/>
      <c r="BQK16" s="166"/>
      <c r="BQL16" s="166"/>
      <c r="BQM16" s="166"/>
      <c r="BQN16" s="166"/>
      <c r="BQO16" s="166"/>
      <c r="BQP16" s="166"/>
      <c r="BQQ16" s="166"/>
      <c r="BQR16" s="166"/>
      <c r="BQS16" s="166"/>
      <c r="BQT16" s="166"/>
      <c r="BQU16" s="166"/>
      <c r="BQV16" s="166"/>
      <c r="BQW16" s="166"/>
      <c r="BQX16" s="166"/>
      <c r="BQY16" s="166"/>
      <c r="BQZ16" s="166"/>
      <c r="BRA16" s="166"/>
      <c r="BRB16" s="166"/>
      <c r="BRC16" s="166"/>
      <c r="BRD16" s="166"/>
      <c r="BRE16" s="166"/>
      <c r="BRF16" s="166"/>
      <c r="BRG16" s="166"/>
      <c r="BRH16" s="166"/>
      <c r="BRI16" s="166"/>
      <c r="BRJ16" s="166"/>
      <c r="BRK16" s="166"/>
      <c r="BRL16" s="166"/>
      <c r="BRM16" s="166"/>
      <c r="BRN16" s="166"/>
      <c r="BRO16" s="166"/>
      <c r="BRP16" s="166"/>
      <c r="BRQ16" s="166"/>
      <c r="BRR16" s="166"/>
      <c r="BRS16" s="166"/>
      <c r="BRT16" s="166"/>
      <c r="BRU16" s="166"/>
      <c r="BRV16" s="166"/>
      <c r="BRW16" s="166"/>
      <c r="BRX16" s="166"/>
      <c r="BRY16" s="166"/>
      <c r="BRZ16" s="166"/>
      <c r="BSA16" s="166"/>
      <c r="BSB16" s="166"/>
      <c r="BSC16" s="166"/>
      <c r="BSD16" s="166"/>
      <c r="BSE16" s="166"/>
      <c r="BSF16" s="166"/>
      <c r="BSG16" s="166"/>
      <c r="BSH16" s="166"/>
      <c r="BSI16" s="166"/>
      <c r="BSJ16" s="166"/>
      <c r="BSK16" s="166"/>
      <c r="BSL16" s="166"/>
      <c r="BSM16" s="166"/>
      <c r="BSN16" s="166"/>
      <c r="BSO16" s="166"/>
      <c r="BSP16" s="166"/>
      <c r="BSQ16" s="166"/>
      <c r="BSR16" s="166"/>
      <c r="BSS16" s="166"/>
    </row>
    <row r="17" spans="1:1865" ht="20.100000000000001" customHeight="1" x14ac:dyDescent="0.25">
      <c r="A17" s="100" t="s">
        <v>20</v>
      </c>
      <c r="B17" s="63" t="str">
        <f>IF(LEN(C19)=0,"",C19)</f>
        <v>Réalisation - Interface</v>
      </c>
      <c r="C17" s="207" t="s">
        <v>32</v>
      </c>
      <c r="D17" s="146" t="str">
        <f t="shared" si="0"/>
        <v>1h10min</v>
      </c>
      <c r="E17" s="31">
        <v>14</v>
      </c>
      <c r="F17" s="32"/>
      <c r="G17" s="64"/>
      <c r="H17" s="64"/>
      <c r="I17" s="64"/>
      <c r="J17" s="33"/>
      <c r="K17" s="132"/>
      <c r="L17" s="169"/>
      <c r="M17" s="169"/>
      <c r="N17" s="169"/>
      <c r="O17" s="169"/>
      <c r="P17" s="169"/>
      <c r="Q17" s="171"/>
      <c r="R17" s="169"/>
      <c r="S17" s="169"/>
      <c r="T17" s="169"/>
      <c r="U17" s="169"/>
      <c r="V17" s="169"/>
      <c r="W17" s="181"/>
      <c r="X17" s="169"/>
      <c r="Y17" s="169"/>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165"/>
      <c r="BHG17" s="166"/>
      <c r="BHH17" s="166"/>
      <c r="BHI17" s="166"/>
      <c r="BHJ17" s="166"/>
      <c r="BHK17" s="166"/>
      <c r="BHL17" s="166"/>
      <c r="BHM17" s="166"/>
      <c r="BHN17" s="166"/>
      <c r="BHO17" s="166"/>
      <c r="BHP17" s="166"/>
      <c r="BHQ17" s="166"/>
      <c r="BHR17" s="166"/>
      <c r="BHS17" s="166"/>
      <c r="BHT17" s="166"/>
      <c r="BHU17" s="166"/>
      <c r="BHV17" s="166"/>
      <c r="BHW17" s="166"/>
      <c r="BHX17" s="166"/>
      <c r="BHY17" s="166"/>
      <c r="BHZ17" s="166"/>
      <c r="BIA17" s="166"/>
      <c r="BIB17" s="166"/>
      <c r="BIC17" s="166"/>
      <c r="BID17" s="166"/>
      <c r="BIE17" s="166"/>
      <c r="BIF17" s="166"/>
      <c r="BIG17" s="166"/>
      <c r="BIH17" s="166"/>
      <c r="BII17" s="166"/>
      <c r="BIJ17" s="166"/>
      <c r="BIK17" s="166"/>
      <c r="BIL17" s="166"/>
      <c r="BIM17" s="166"/>
      <c r="BIN17" s="166"/>
      <c r="BIO17" s="166"/>
      <c r="BIP17" s="166"/>
      <c r="BIQ17" s="166"/>
      <c r="BIR17" s="166"/>
      <c r="BIS17" s="166"/>
      <c r="BIT17" s="166"/>
      <c r="BIU17" s="166"/>
      <c r="BIV17" s="166"/>
      <c r="BIW17" s="166"/>
      <c r="BIX17" s="166"/>
      <c r="BIY17" s="166"/>
      <c r="BIZ17" s="166"/>
      <c r="BJA17" s="166"/>
      <c r="BJB17" s="166"/>
      <c r="BJC17" s="166"/>
      <c r="BJD17" s="166"/>
      <c r="BJE17" s="166"/>
      <c r="BJF17" s="166"/>
      <c r="BJG17" s="166"/>
      <c r="BJH17" s="166"/>
      <c r="BJI17" s="166"/>
      <c r="BJJ17" s="166"/>
      <c r="BJK17" s="166"/>
      <c r="BJL17" s="166"/>
      <c r="BJM17" s="166"/>
      <c r="BJN17" s="166"/>
      <c r="BJO17" s="166"/>
      <c r="BJP17" s="166"/>
      <c r="BJQ17" s="166"/>
      <c r="BJR17" s="166"/>
      <c r="BJS17" s="166"/>
      <c r="BJT17" s="166"/>
      <c r="BJU17" s="166"/>
      <c r="BJV17" s="166"/>
      <c r="BJW17" s="166"/>
      <c r="BJX17" s="166"/>
      <c r="BJY17" s="166"/>
      <c r="BJZ17" s="166"/>
      <c r="BKA17" s="166"/>
      <c r="BKB17" s="166"/>
      <c r="BKC17" s="166"/>
      <c r="BKD17" s="166"/>
      <c r="BKE17" s="166"/>
      <c r="BKF17" s="166"/>
      <c r="BKG17" s="166"/>
      <c r="BKH17" s="166"/>
      <c r="BKI17" s="166"/>
      <c r="BKJ17" s="166"/>
      <c r="BKK17" s="166"/>
      <c r="BKL17" s="166"/>
      <c r="BKM17" s="166"/>
      <c r="BKN17" s="166"/>
      <c r="BKO17" s="166"/>
      <c r="BKP17" s="166"/>
      <c r="BKQ17" s="166"/>
      <c r="BKR17" s="166"/>
      <c r="BKS17" s="166"/>
      <c r="BKT17" s="166"/>
      <c r="BKU17" s="166"/>
      <c r="BKV17" s="166"/>
      <c r="BKW17" s="166"/>
      <c r="BKX17" s="166"/>
      <c r="BKY17" s="166"/>
      <c r="BKZ17" s="166"/>
      <c r="BLA17" s="166"/>
      <c r="BLB17" s="166"/>
      <c r="BLC17" s="166"/>
      <c r="BLD17" s="166"/>
      <c r="BLE17" s="166"/>
      <c r="BLF17" s="166"/>
      <c r="BLG17" s="166"/>
      <c r="BLH17" s="166"/>
      <c r="BLI17" s="166"/>
      <c r="BLJ17" s="166"/>
      <c r="BLK17" s="166"/>
      <c r="BLL17" s="166"/>
      <c r="BLM17" s="166"/>
      <c r="BLN17" s="166"/>
      <c r="BLO17" s="166"/>
      <c r="BLP17" s="166"/>
      <c r="BLQ17" s="166"/>
      <c r="BLR17" s="166"/>
      <c r="BLS17" s="166"/>
      <c r="BLT17" s="166"/>
      <c r="BLU17" s="166"/>
      <c r="BLV17" s="166"/>
      <c r="BLW17" s="166"/>
      <c r="BLX17" s="166"/>
      <c r="BLY17" s="166"/>
      <c r="BLZ17" s="166"/>
      <c r="BMA17" s="166"/>
      <c r="BMB17" s="166"/>
      <c r="BMC17" s="166"/>
      <c r="BMD17" s="166"/>
      <c r="BME17" s="166"/>
      <c r="BMF17" s="166"/>
      <c r="BMG17" s="166"/>
      <c r="BMH17" s="166"/>
      <c r="BMI17" s="166"/>
      <c r="BMJ17" s="166"/>
      <c r="BMK17" s="166"/>
      <c r="BML17" s="166"/>
      <c r="BMM17" s="166"/>
      <c r="BMN17" s="166"/>
      <c r="BMO17" s="166"/>
      <c r="BMP17" s="166"/>
      <c r="BMQ17" s="166"/>
      <c r="BMR17" s="166"/>
      <c r="BMS17" s="166"/>
      <c r="BMT17" s="166"/>
      <c r="BMU17" s="166"/>
      <c r="BMV17" s="166"/>
      <c r="BMW17" s="166"/>
      <c r="BMX17" s="166"/>
      <c r="BMY17" s="166"/>
      <c r="BMZ17" s="166"/>
      <c r="BNA17" s="166"/>
      <c r="BNB17" s="166"/>
      <c r="BNC17" s="166"/>
      <c r="BND17" s="166"/>
      <c r="BNE17" s="166"/>
      <c r="BNF17" s="166"/>
      <c r="BNG17" s="166"/>
      <c r="BNH17" s="166"/>
      <c r="BNI17" s="166"/>
      <c r="BNJ17" s="166"/>
      <c r="BNK17" s="166"/>
      <c r="BNL17" s="166"/>
      <c r="BNM17" s="166"/>
      <c r="BNN17" s="166"/>
      <c r="BNO17" s="166"/>
      <c r="BNP17" s="166"/>
      <c r="BNQ17" s="166"/>
      <c r="BNR17" s="166"/>
      <c r="BNS17" s="166"/>
      <c r="BNT17" s="166"/>
      <c r="BNU17" s="166"/>
      <c r="BNV17" s="166"/>
      <c r="BNW17" s="166"/>
      <c r="BNX17" s="166"/>
      <c r="BNY17" s="166"/>
      <c r="BNZ17" s="166"/>
      <c r="BOA17" s="166"/>
      <c r="BOB17" s="166"/>
      <c r="BOC17" s="166"/>
      <c r="BOD17" s="166"/>
      <c r="BOE17" s="166"/>
      <c r="BOF17" s="166"/>
      <c r="BOG17" s="166"/>
      <c r="BOH17" s="166"/>
      <c r="BOI17" s="166"/>
      <c r="BOJ17" s="166"/>
      <c r="BOK17" s="166"/>
      <c r="BOL17" s="166"/>
      <c r="BOM17" s="166"/>
      <c r="BON17" s="166"/>
      <c r="BOO17" s="166"/>
      <c r="BOP17" s="166"/>
      <c r="BOQ17" s="166"/>
      <c r="BOR17" s="166"/>
      <c r="BOS17" s="166"/>
      <c r="BOT17" s="166"/>
      <c r="BOU17" s="166"/>
      <c r="BOV17" s="166"/>
      <c r="BOW17" s="166"/>
      <c r="BOX17" s="166"/>
      <c r="BOY17" s="166"/>
      <c r="BOZ17" s="166"/>
      <c r="BPA17" s="166"/>
      <c r="BPB17" s="166"/>
      <c r="BPC17" s="166"/>
      <c r="BPD17" s="166"/>
      <c r="BPE17" s="166"/>
      <c r="BPF17" s="166"/>
      <c r="BPG17" s="166"/>
      <c r="BPH17" s="166"/>
      <c r="BPI17" s="166"/>
      <c r="BPJ17" s="166"/>
      <c r="BPK17" s="166"/>
      <c r="BPL17" s="166"/>
      <c r="BPM17" s="166"/>
      <c r="BPN17" s="166"/>
      <c r="BPO17" s="166"/>
      <c r="BPP17" s="166"/>
      <c r="BPQ17" s="166"/>
      <c r="BPR17" s="166"/>
      <c r="BPS17" s="166"/>
      <c r="BPT17" s="166"/>
      <c r="BPU17" s="166"/>
      <c r="BPV17" s="166"/>
      <c r="BPW17" s="166"/>
      <c r="BPX17" s="166"/>
      <c r="BPY17" s="166"/>
      <c r="BPZ17" s="166"/>
      <c r="BQA17" s="166"/>
      <c r="BQB17" s="166"/>
      <c r="BQC17" s="166"/>
      <c r="BQD17" s="166"/>
      <c r="BQE17" s="166"/>
      <c r="BQF17" s="166"/>
      <c r="BQG17" s="166"/>
      <c r="BQH17" s="166"/>
      <c r="BQI17" s="166"/>
      <c r="BQJ17" s="166"/>
      <c r="BQK17" s="166"/>
      <c r="BQL17" s="166"/>
      <c r="BQM17" s="166"/>
      <c r="BQN17" s="166"/>
      <c r="BQO17" s="166"/>
      <c r="BQP17" s="166"/>
      <c r="BQQ17" s="166"/>
      <c r="BQR17" s="166"/>
      <c r="BQS17" s="166"/>
      <c r="BQT17" s="166"/>
      <c r="BQU17" s="166"/>
      <c r="BQV17" s="166"/>
      <c r="BQW17" s="166"/>
      <c r="BQX17" s="166"/>
      <c r="BQY17" s="166"/>
      <c r="BQZ17" s="166"/>
      <c r="BRA17" s="166"/>
      <c r="BRB17" s="166"/>
      <c r="BRC17" s="166"/>
      <c r="BRD17" s="166"/>
      <c r="BRE17" s="166"/>
      <c r="BRF17" s="166"/>
      <c r="BRG17" s="166"/>
      <c r="BRH17" s="166"/>
      <c r="BRI17" s="166"/>
      <c r="BRJ17" s="166"/>
      <c r="BRK17" s="166"/>
      <c r="BRL17" s="166"/>
      <c r="BRM17" s="166"/>
      <c r="BRN17" s="166"/>
      <c r="BRO17" s="166"/>
      <c r="BRP17" s="166"/>
      <c r="BRQ17" s="166"/>
      <c r="BRR17" s="166"/>
      <c r="BRS17" s="166"/>
      <c r="BRT17" s="166"/>
      <c r="BRU17" s="166"/>
      <c r="BRV17" s="166"/>
      <c r="BRW17" s="166"/>
      <c r="BRX17" s="166"/>
      <c r="BRY17" s="166"/>
      <c r="BRZ17" s="166"/>
      <c r="BSA17" s="166"/>
      <c r="BSB17" s="166"/>
      <c r="BSC17" s="166"/>
      <c r="BSD17" s="166"/>
      <c r="BSE17" s="166"/>
      <c r="BSF17" s="166"/>
      <c r="BSG17" s="166"/>
      <c r="BSH17" s="166"/>
      <c r="BSI17" s="166"/>
      <c r="BSJ17" s="166"/>
      <c r="BSK17" s="166"/>
      <c r="BSL17" s="166"/>
      <c r="BSM17" s="166"/>
      <c r="BSN17" s="166"/>
      <c r="BSO17" s="166"/>
      <c r="BSP17" s="166"/>
      <c r="BSQ17" s="166"/>
      <c r="BSR17" s="166"/>
      <c r="BSS17" s="166"/>
    </row>
    <row r="18" spans="1:1865" ht="20.100000000000001" customHeight="1" x14ac:dyDescent="0.3">
      <c r="A18" s="100" t="s">
        <v>21</v>
      </c>
      <c r="B18" s="63" t="str">
        <f>IF(LEN(C21)=0,"",C21)</f>
        <v>Doc - Journal de travail</v>
      </c>
      <c r="C18" s="208"/>
      <c r="D18" s="148" t="str">
        <f t="shared" si="0"/>
        <v>1h10min</v>
      </c>
      <c r="E18" s="35">
        <v>14</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243"/>
      <c r="AI18" s="251"/>
      <c r="AJ18" s="242"/>
      <c r="AK18" s="242"/>
      <c r="AL18" s="242"/>
      <c r="AM18" s="242"/>
      <c r="AN18" s="243"/>
      <c r="AO18" s="249"/>
      <c r="AP18" s="243"/>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241"/>
      <c r="BO18" s="242"/>
      <c r="BP18" s="242"/>
      <c r="BQ18" s="242"/>
      <c r="BR18" s="243"/>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165"/>
      <c r="BHG18" s="166"/>
      <c r="BHH18" s="166"/>
      <c r="BHI18" s="166"/>
      <c r="BHJ18" s="166"/>
      <c r="BHK18" s="166"/>
      <c r="BHL18" s="166"/>
      <c r="BHM18" s="166"/>
      <c r="BHN18" s="166"/>
      <c r="BHO18" s="166"/>
      <c r="BHP18" s="166"/>
      <c r="BHQ18" s="166"/>
      <c r="BHR18" s="166"/>
      <c r="BHS18" s="166"/>
      <c r="BHT18" s="166"/>
      <c r="BHU18" s="166"/>
      <c r="BHV18" s="166"/>
      <c r="BHW18" s="166"/>
      <c r="BHX18" s="166"/>
      <c r="BHY18" s="166"/>
      <c r="BHZ18" s="166"/>
      <c r="BIA18" s="166"/>
      <c r="BIB18" s="166"/>
      <c r="BIC18" s="166"/>
      <c r="BID18" s="166"/>
      <c r="BIE18" s="166"/>
      <c r="BIF18" s="166"/>
      <c r="BIG18" s="166"/>
      <c r="BIH18" s="166"/>
      <c r="BII18" s="166"/>
      <c r="BIJ18" s="166"/>
      <c r="BIK18" s="166"/>
      <c r="BIL18" s="166"/>
      <c r="BIM18" s="166"/>
      <c r="BIN18" s="166"/>
      <c r="BIO18" s="166"/>
      <c r="BIP18" s="166"/>
      <c r="BIQ18" s="166"/>
      <c r="BIR18" s="166"/>
      <c r="BIS18" s="166"/>
      <c r="BIT18" s="166"/>
      <c r="BIU18" s="166"/>
      <c r="BIV18" s="166"/>
      <c r="BIW18" s="166"/>
      <c r="BIX18" s="166"/>
      <c r="BIY18" s="166"/>
      <c r="BIZ18" s="166"/>
      <c r="BJA18" s="166"/>
      <c r="BJB18" s="166"/>
      <c r="BJC18" s="166"/>
      <c r="BJD18" s="166"/>
      <c r="BJE18" s="166"/>
      <c r="BJF18" s="166"/>
      <c r="BJG18" s="166"/>
      <c r="BJH18" s="166"/>
      <c r="BJI18" s="166"/>
      <c r="BJJ18" s="166"/>
      <c r="BJK18" s="166"/>
      <c r="BJL18" s="166"/>
      <c r="BJM18" s="166"/>
      <c r="BJN18" s="166"/>
      <c r="BJO18" s="166"/>
      <c r="BJP18" s="166"/>
      <c r="BJQ18" s="166"/>
      <c r="BJR18" s="166"/>
      <c r="BJS18" s="166"/>
      <c r="BJT18" s="166"/>
      <c r="BJU18" s="166"/>
      <c r="BJV18" s="166"/>
      <c r="BJW18" s="166"/>
      <c r="BJX18" s="166"/>
      <c r="BJY18" s="166"/>
      <c r="BJZ18" s="166"/>
      <c r="BKA18" s="166"/>
      <c r="BKB18" s="166"/>
      <c r="BKC18" s="166"/>
      <c r="BKD18" s="166"/>
      <c r="BKE18" s="166"/>
      <c r="BKF18" s="166"/>
      <c r="BKG18" s="166"/>
      <c r="BKH18" s="166"/>
      <c r="BKI18" s="166"/>
      <c r="BKJ18" s="166"/>
      <c r="BKK18" s="166"/>
      <c r="BKL18" s="166"/>
      <c r="BKM18" s="166"/>
      <c r="BKN18" s="166"/>
      <c r="BKO18" s="166"/>
      <c r="BKP18" s="166"/>
      <c r="BKQ18" s="166"/>
      <c r="BKR18" s="166"/>
      <c r="BKS18" s="166"/>
      <c r="BKT18" s="166"/>
      <c r="BKU18" s="166"/>
      <c r="BKV18" s="166"/>
      <c r="BKW18" s="166"/>
      <c r="BKX18" s="166"/>
      <c r="BKY18" s="166"/>
      <c r="BKZ18" s="166"/>
      <c r="BLA18" s="166"/>
      <c r="BLB18" s="166"/>
      <c r="BLC18" s="166"/>
      <c r="BLD18" s="166"/>
      <c r="BLE18" s="166"/>
      <c r="BLF18" s="166"/>
      <c r="BLG18" s="166"/>
      <c r="BLH18" s="166"/>
      <c r="BLI18" s="166"/>
      <c r="BLJ18" s="166"/>
      <c r="BLK18" s="166"/>
      <c r="BLL18" s="166"/>
      <c r="BLM18" s="166"/>
      <c r="BLN18" s="166"/>
      <c r="BLO18" s="166"/>
      <c r="BLP18" s="166"/>
      <c r="BLQ18" s="166"/>
      <c r="BLR18" s="166"/>
      <c r="BLS18" s="166"/>
      <c r="BLT18" s="166"/>
      <c r="BLU18" s="166"/>
      <c r="BLV18" s="166"/>
      <c r="BLW18" s="166"/>
      <c r="BLX18" s="166"/>
      <c r="BLY18" s="166"/>
      <c r="BLZ18" s="166"/>
      <c r="BMA18" s="166"/>
      <c r="BMB18" s="166"/>
      <c r="BMC18" s="166"/>
      <c r="BMD18" s="166"/>
      <c r="BME18" s="166"/>
      <c r="BMF18" s="166"/>
      <c r="BMG18" s="166"/>
      <c r="BMH18" s="166"/>
      <c r="BMI18" s="166"/>
      <c r="BMJ18" s="166"/>
      <c r="BMK18" s="166"/>
      <c r="BML18" s="166"/>
      <c r="BMM18" s="166"/>
      <c r="BMN18" s="166"/>
      <c r="BMO18" s="166"/>
      <c r="BMP18" s="166"/>
      <c r="BMQ18" s="166"/>
      <c r="BMR18" s="166"/>
      <c r="BMS18" s="166"/>
      <c r="BMT18" s="166"/>
      <c r="BMU18" s="166"/>
      <c r="BMV18" s="166"/>
      <c r="BMW18" s="166"/>
      <c r="BMX18" s="166"/>
      <c r="BMY18" s="166"/>
      <c r="BMZ18" s="166"/>
      <c r="BNA18" s="166"/>
      <c r="BNB18" s="166"/>
      <c r="BNC18" s="166"/>
      <c r="BND18" s="166"/>
      <c r="BNE18" s="166"/>
      <c r="BNF18" s="166"/>
      <c r="BNG18" s="166"/>
      <c r="BNH18" s="166"/>
      <c r="BNI18" s="166"/>
      <c r="BNJ18" s="166"/>
      <c r="BNK18" s="166"/>
      <c r="BNL18" s="166"/>
      <c r="BNM18" s="166"/>
      <c r="BNN18" s="166"/>
      <c r="BNO18" s="166"/>
      <c r="BNP18" s="166"/>
      <c r="BNQ18" s="166"/>
      <c r="BNR18" s="166"/>
      <c r="BNS18" s="166"/>
      <c r="BNT18" s="166"/>
      <c r="BNU18" s="166"/>
      <c r="BNV18" s="166"/>
      <c r="BNW18" s="166"/>
      <c r="BNX18" s="166"/>
      <c r="BNY18" s="166"/>
      <c r="BNZ18" s="166"/>
      <c r="BOA18" s="166"/>
      <c r="BOB18" s="166"/>
      <c r="BOC18" s="166"/>
      <c r="BOD18" s="166"/>
      <c r="BOE18" s="166"/>
      <c r="BOF18" s="166"/>
      <c r="BOG18" s="166"/>
      <c r="BOH18" s="166"/>
      <c r="BOI18" s="166"/>
      <c r="BOJ18" s="166"/>
      <c r="BOK18" s="166"/>
      <c r="BOL18" s="166"/>
      <c r="BOM18" s="166"/>
      <c r="BON18" s="166"/>
      <c r="BOO18" s="166"/>
      <c r="BOP18" s="166"/>
      <c r="BOQ18" s="166"/>
      <c r="BOR18" s="166"/>
      <c r="BOS18" s="166"/>
      <c r="BOT18" s="166"/>
      <c r="BOU18" s="166"/>
      <c r="BOV18" s="166"/>
      <c r="BOW18" s="166"/>
      <c r="BOX18" s="166"/>
      <c r="BOY18" s="166"/>
      <c r="BOZ18" s="166"/>
      <c r="BPA18" s="166"/>
      <c r="BPB18" s="166"/>
      <c r="BPC18" s="166"/>
      <c r="BPD18" s="166"/>
      <c r="BPE18" s="166"/>
      <c r="BPF18" s="166"/>
      <c r="BPG18" s="166"/>
      <c r="BPH18" s="166"/>
      <c r="BPI18" s="166"/>
      <c r="BPJ18" s="166"/>
      <c r="BPK18" s="166"/>
      <c r="BPL18" s="166"/>
      <c r="BPM18" s="166"/>
      <c r="BPN18" s="166"/>
      <c r="BPO18" s="166"/>
      <c r="BPP18" s="166"/>
      <c r="BPQ18" s="166"/>
      <c r="BPR18" s="166"/>
      <c r="BPS18" s="166"/>
      <c r="BPT18" s="166"/>
      <c r="BPU18" s="166"/>
      <c r="BPV18" s="166"/>
      <c r="BPW18" s="166"/>
      <c r="BPX18" s="166"/>
      <c r="BPY18" s="166"/>
      <c r="BPZ18" s="166"/>
      <c r="BQA18" s="166"/>
      <c r="BQB18" s="166"/>
      <c r="BQC18" s="166"/>
      <c r="BQD18" s="166"/>
      <c r="BQE18" s="166"/>
      <c r="BQF18" s="166"/>
      <c r="BQG18" s="166"/>
      <c r="BQH18" s="166"/>
      <c r="BQI18" s="166"/>
      <c r="BQJ18" s="166"/>
      <c r="BQK18" s="166"/>
      <c r="BQL18" s="166"/>
      <c r="BQM18" s="166"/>
      <c r="BQN18" s="166"/>
      <c r="BQO18" s="166"/>
      <c r="BQP18" s="166"/>
      <c r="BQQ18" s="166"/>
      <c r="BQR18" s="166"/>
      <c r="BQS18" s="166"/>
      <c r="BQT18" s="166"/>
      <c r="BQU18" s="166"/>
      <c r="BQV18" s="166"/>
      <c r="BQW18" s="166"/>
      <c r="BQX18" s="166"/>
      <c r="BQY18" s="166"/>
      <c r="BQZ18" s="166"/>
      <c r="BRA18" s="166"/>
      <c r="BRB18" s="166"/>
      <c r="BRC18" s="166"/>
      <c r="BRD18" s="166"/>
      <c r="BRE18" s="166"/>
      <c r="BRF18" s="166"/>
      <c r="BRG18" s="166"/>
      <c r="BRH18" s="166"/>
      <c r="BRI18" s="166"/>
      <c r="BRJ18" s="166"/>
      <c r="BRK18" s="166"/>
      <c r="BRL18" s="166"/>
      <c r="BRM18" s="166"/>
      <c r="BRN18" s="166"/>
      <c r="BRO18" s="166"/>
      <c r="BRP18" s="166"/>
      <c r="BRQ18" s="166"/>
      <c r="BRR18" s="166"/>
      <c r="BRS18" s="166"/>
      <c r="BRT18" s="166"/>
      <c r="BRU18" s="166"/>
      <c r="BRV18" s="166"/>
      <c r="BRW18" s="166"/>
      <c r="BRX18" s="166"/>
      <c r="BRY18" s="166"/>
      <c r="BRZ18" s="166"/>
      <c r="BSA18" s="166"/>
      <c r="BSB18" s="166"/>
      <c r="BSC18" s="166"/>
      <c r="BSD18" s="166"/>
      <c r="BSE18" s="166"/>
      <c r="BSF18" s="166"/>
      <c r="BSG18" s="166"/>
      <c r="BSH18" s="166"/>
      <c r="BSI18" s="166"/>
      <c r="BSJ18" s="166"/>
      <c r="BSK18" s="166"/>
      <c r="BSL18" s="166"/>
      <c r="BSM18" s="166"/>
      <c r="BSN18" s="166"/>
      <c r="BSO18" s="166"/>
      <c r="BSP18" s="166"/>
      <c r="BSQ18" s="166"/>
      <c r="BSR18" s="166"/>
      <c r="BSS18" s="166"/>
    </row>
    <row r="19" spans="1:1865" ht="20.100000000000001" customHeight="1" x14ac:dyDescent="0.25">
      <c r="A19" s="100" t="s">
        <v>20</v>
      </c>
      <c r="B19" s="63" t="str">
        <f>IF(LEN(C23)=0,"",C23)</f>
        <v>Doc - Rapport</v>
      </c>
      <c r="C19" s="207" t="s">
        <v>88</v>
      </c>
      <c r="D19" s="146" t="str">
        <f t="shared" si="0"/>
        <v>1h10min</v>
      </c>
      <c r="E19" s="39">
        <v>14</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177"/>
      <c r="BW19" s="177"/>
      <c r="BX19" s="177"/>
      <c r="BY19" s="179"/>
      <c r="BZ19" s="177"/>
      <c r="CA19" s="177"/>
      <c r="CB19" s="177"/>
      <c r="CC19" s="177"/>
      <c r="CD19" s="177"/>
      <c r="CE19" s="180"/>
      <c r="CF19" s="177"/>
      <c r="CG19" s="177"/>
      <c r="CH19" s="177"/>
      <c r="CI19" s="177"/>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165"/>
      <c r="BHG19" s="166"/>
      <c r="BHH19" s="166"/>
      <c r="BHI19" s="166"/>
      <c r="BHJ19" s="166"/>
      <c r="BHK19" s="166"/>
      <c r="BHL19" s="166"/>
      <c r="BHM19" s="166"/>
      <c r="BHN19" s="166"/>
      <c r="BHO19" s="166"/>
      <c r="BHP19" s="166"/>
      <c r="BHQ19" s="166"/>
      <c r="BHR19" s="166"/>
      <c r="BHS19" s="166"/>
      <c r="BHT19" s="166"/>
      <c r="BHU19" s="166"/>
      <c r="BHV19" s="166"/>
      <c r="BHW19" s="166"/>
      <c r="BHX19" s="166"/>
      <c r="BHY19" s="166"/>
      <c r="BHZ19" s="166"/>
      <c r="BIA19" s="166"/>
      <c r="BIB19" s="166"/>
      <c r="BIC19" s="166"/>
      <c r="BID19" s="166"/>
      <c r="BIE19" s="166"/>
      <c r="BIF19" s="166"/>
      <c r="BIG19" s="166"/>
      <c r="BIH19" s="166"/>
      <c r="BII19" s="166"/>
      <c r="BIJ19" s="166"/>
      <c r="BIK19" s="166"/>
      <c r="BIL19" s="166"/>
      <c r="BIM19" s="166"/>
      <c r="BIN19" s="166"/>
      <c r="BIO19" s="166"/>
      <c r="BIP19" s="166"/>
      <c r="BIQ19" s="166"/>
      <c r="BIR19" s="166"/>
      <c r="BIS19" s="166"/>
      <c r="BIT19" s="166"/>
      <c r="BIU19" s="166"/>
      <c r="BIV19" s="166"/>
      <c r="BIW19" s="166"/>
      <c r="BIX19" s="166"/>
      <c r="BIY19" s="166"/>
      <c r="BIZ19" s="166"/>
      <c r="BJA19" s="166"/>
      <c r="BJB19" s="166"/>
      <c r="BJC19" s="166"/>
      <c r="BJD19" s="166"/>
      <c r="BJE19" s="166"/>
      <c r="BJF19" s="166"/>
      <c r="BJG19" s="166"/>
      <c r="BJH19" s="166"/>
      <c r="BJI19" s="166"/>
      <c r="BJJ19" s="166"/>
      <c r="BJK19" s="166"/>
      <c r="BJL19" s="166"/>
      <c r="BJM19" s="166"/>
      <c r="BJN19" s="166"/>
      <c r="BJO19" s="166"/>
      <c r="BJP19" s="166"/>
      <c r="BJQ19" s="166"/>
      <c r="BJR19" s="166"/>
      <c r="BJS19" s="166"/>
      <c r="BJT19" s="166"/>
      <c r="BJU19" s="166"/>
      <c r="BJV19" s="166"/>
      <c r="BJW19" s="166"/>
      <c r="BJX19" s="166"/>
      <c r="BJY19" s="166"/>
      <c r="BJZ19" s="166"/>
      <c r="BKA19" s="166"/>
      <c r="BKB19" s="166"/>
      <c r="BKC19" s="166"/>
      <c r="BKD19" s="166"/>
      <c r="BKE19" s="166"/>
      <c r="BKF19" s="166"/>
      <c r="BKG19" s="166"/>
      <c r="BKH19" s="166"/>
      <c r="BKI19" s="166"/>
      <c r="BKJ19" s="166"/>
      <c r="BKK19" s="166"/>
      <c r="BKL19" s="166"/>
      <c r="BKM19" s="166"/>
      <c r="BKN19" s="166"/>
      <c r="BKO19" s="166"/>
      <c r="BKP19" s="166"/>
      <c r="BKQ19" s="166"/>
      <c r="BKR19" s="166"/>
      <c r="BKS19" s="166"/>
      <c r="BKT19" s="166"/>
      <c r="BKU19" s="166"/>
      <c r="BKV19" s="166"/>
      <c r="BKW19" s="166"/>
      <c r="BKX19" s="166"/>
      <c r="BKY19" s="166"/>
      <c r="BKZ19" s="166"/>
      <c r="BLA19" s="166"/>
      <c r="BLB19" s="166"/>
      <c r="BLC19" s="166"/>
      <c r="BLD19" s="166"/>
      <c r="BLE19" s="166"/>
      <c r="BLF19" s="166"/>
      <c r="BLG19" s="166"/>
      <c r="BLH19" s="166"/>
      <c r="BLI19" s="166"/>
      <c r="BLJ19" s="166"/>
      <c r="BLK19" s="166"/>
      <c r="BLL19" s="166"/>
      <c r="BLM19" s="166"/>
      <c r="BLN19" s="166"/>
      <c r="BLO19" s="166"/>
      <c r="BLP19" s="166"/>
      <c r="BLQ19" s="166"/>
      <c r="BLR19" s="166"/>
      <c r="BLS19" s="166"/>
      <c r="BLT19" s="166"/>
      <c r="BLU19" s="166"/>
      <c r="BLV19" s="166"/>
      <c r="BLW19" s="166"/>
      <c r="BLX19" s="166"/>
      <c r="BLY19" s="166"/>
      <c r="BLZ19" s="166"/>
      <c r="BMA19" s="166"/>
      <c r="BMB19" s="166"/>
      <c r="BMC19" s="166"/>
      <c r="BMD19" s="166"/>
      <c r="BME19" s="166"/>
      <c r="BMF19" s="166"/>
      <c r="BMG19" s="166"/>
      <c r="BMH19" s="166"/>
      <c r="BMI19" s="166"/>
      <c r="BMJ19" s="166"/>
      <c r="BMK19" s="166"/>
      <c r="BML19" s="166"/>
      <c r="BMM19" s="166"/>
      <c r="BMN19" s="166"/>
      <c r="BMO19" s="166"/>
      <c r="BMP19" s="166"/>
      <c r="BMQ19" s="166"/>
      <c r="BMR19" s="166"/>
      <c r="BMS19" s="166"/>
      <c r="BMT19" s="166"/>
      <c r="BMU19" s="166"/>
      <c r="BMV19" s="166"/>
      <c r="BMW19" s="166"/>
      <c r="BMX19" s="166"/>
      <c r="BMY19" s="166"/>
      <c r="BMZ19" s="166"/>
      <c r="BNA19" s="166"/>
      <c r="BNB19" s="166"/>
      <c r="BNC19" s="166"/>
      <c r="BND19" s="166"/>
      <c r="BNE19" s="166"/>
      <c r="BNF19" s="166"/>
      <c r="BNG19" s="166"/>
      <c r="BNH19" s="166"/>
      <c r="BNI19" s="166"/>
      <c r="BNJ19" s="166"/>
      <c r="BNK19" s="166"/>
      <c r="BNL19" s="166"/>
      <c r="BNM19" s="166"/>
      <c r="BNN19" s="166"/>
      <c r="BNO19" s="166"/>
      <c r="BNP19" s="166"/>
      <c r="BNQ19" s="166"/>
      <c r="BNR19" s="166"/>
      <c r="BNS19" s="166"/>
      <c r="BNT19" s="166"/>
      <c r="BNU19" s="166"/>
      <c r="BNV19" s="166"/>
      <c r="BNW19" s="166"/>
      <c r="BNX19" s="166"/>
      <c r="BNY19" s="166"/>
      <c r="BNZ19" s="166"/>
      <c r="BOA19" s="166"/>
      <c r="BOB19" s="166"/>
      <c r="BOC19" s="166"/>
      <c r="BOD19" s="166"/>
      <c r="BOE19" s="166"/>
      <c r="BOF19" s="166"/>
      <c r="BOG19" s="166"/>
      <c r="BOH19" s="166"/>
      <c r="BOI19" s="166"/>
      <c r="BOJ19" s="166"/>
      <c r="BOK19" s="166"/>
      <c r="BOL19" s="166"/>
      <c r="BOM19" s="166"/>
      <c r="BON19" s="166"/>
      <c r="BOO19" s="166"/>
      <c r="BOP19" s="166"/>
      <c r="BOQ19" s="166"/>
      <c r="BOR19" s="166"/>
      <c r="BOS19" s="166"/>
      <c r="BOT19" s="166"/>
      <c r="BOU19" s="166"/>
      <c r="BOV19" s="166"/>
      <c r="BOW19" s="166"/>
      <c r="BOX19" s="166"/>
      <c r="BOY19" s="166"/>
      <c r="BOZ19" s="166"/>
      <c r="BPA19" s="166"/>
      <c r="BPB19" s="166"/>
      <c r="BPC19" s="166"/>
      <c r="BPD19" s="166"/>
      <c r="BPE19" s="166"/>
      <c r="BPF19" s="166"/>
      <c r="BPG19" s="166"/>
      <c r="BPH19" s="166"/>
      <c r="BPI19" s="166"/>
      <c r="BPJ19" s="166"/>
      <c r="BPK19" s="166"/>
      <c r="BPL19" s="166"/>
      <c r="BPM19" s="166"/>
      <c r="BPN19" s="166"/>
      <c r="BPO19" s="166"/>
      <c r="BPP19" s="166"/>
      <c r="BPQ19" s="166"/>
      <c r="BPR19" s="166"/>
      <c r="BPS19" s="166"/>
      <c r="BPT19" s="166"/>
      <c r="BPU19" s="166"/>
      <c r="BPV19" s="166"/>
      <c r="BPW19" s="166"/>
      <c r="BPX19" s="166"/>
      <c r="BPY19" s="166"/>
      <c r="BPZ19" s="166"/>
      <c r="BQA19" s="166"/>
      <c r="BQB19" s="166"/>
      <c r="BQC19" s="166"/>
      <c r="BQD19" s="166"/>
      <c r="BQE19" s="166"/>
      <c r="BQF19" s="166"/>
      <c r="BQG19" s="166"/>
      <c r="BQH19" s="166"/>
      <c r="BQI19" s="166"/>
      <c r="BQJ19" s="166"/>
      <c r="BQK19" s="166"/>
      <c r="BQL19" s="166"/>
      <c r="BQM19" s="166"/>
      <c r="BQN19" s="166"/>
      <c r="BQO19" s="166"/>
      <c r="BQP19" s="166"/>
      <c r="BQQ19" s="166"/>
      <c r="BQR19" s="166"/>
      <c r="BQS19" s="166"/>
      <c r="BQT19" s="166"/>
      <c r="BQU19" s="166"/>
      <c r="BQV19" s="166"/>
      <c r="BQW19" s="166"/>
      <c r="BQX19" s="166"/>
      <c r="BQY19" s="166"/>
      <c r="BQZ19" s="166"/>
      <c r="BRA19" s="166"/>
      <c r="BRB19" s="166"/>
      <c r="BRC19" s="166"/>
      <c r="BRD19" s="166"/>
      <c r="BRE19" s="166"/>
      <c r="BRF19" s="166"/>
      <c r="BRG19" s="166"/>
      <c r="BRH19" s="166"/>
      <c r="BRI19" s="166"/>
      <c r="BRJ19" s="166"/>
      <c r="BRK19" s="166"/>
      <c r="BRL19" s="166"/>
      <c r="BRM19" s="166"/>
      <c r="BRN19" s="166"/>
      <c r="BRO19" s="166"/>
      <c r="BRP19" s="166"/>
      <c r="BRQ19" s="166"/>
      <c r="BRR19" s="166"/>
      <c r="BRS19" s="166"/>
      <c r="BRT19" s="166"/>
      <c r="BRU19" s="166"/>
      <c r="BRV19" s="166"/>
      <c r="BRW19" s="166"/>
      <c r="BRX19" s="166"/>
      <c r="BRY19" s="166"/>
      <c r="BRZ19" s="166"/>
      <c r="BSA19" s="166"/>
      <c r="BSB19" s="166"/>
      <c r="BSC19" s="166"/>
      <c r="BSD19" s="166"/>
      <c r="BSE19" s="166"/>
      <c r="BSF19" s="166"/>
      <c r="BSG19" s="166"/>
      <c r="BSH19" s="166"/>
      <c r="BSI19" s="166"/>
      <c r="BSJ19" s="166"/>
      <c r="BSK19" s="166"/>
      <c r="BSL19" s="166"/>
      <c r="BSM19" s="166"/>
      <c r="BSN19" s="166"/>
      <c r="BSO19" s="166"/>
      <c r="BSP19" s="166"/>
      <c r="BSQ19" s="166"/>
      <c r="BSR19" s="166"/>
      <c r="BSS19" s="166"/>
    </row>
    <row r="20" spans="1:1865" ht="20.100000000000001" customHeight="1" x14ac:dyDescent="0.25">
      <c r="A20" s="100" t="s">
        <v>21</v>
      </c>
      <c r="B20" s="63" t="str">
        <f>IF(LEN(C25)=0,"",C25)</f>
        <v>Analyse - Cahier des charges</v>
      </c>
      <c r="C20" s="208"/>
      <c r="D20" s="147" t="str">
        <f t="shared" si="0"/>
        <v>0h45min</v>
      </c>
      <c r="E20" s="27">
        <v>9</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244"/>
      <c r="BT20" s="245"/>
      <c r="BU20" s="245"/>
      <c r="BV20" s="245"/>
      <c r="BW20" s="245"/>
      <c r="BX20" s="245"/>
      <c r="BY20" s="246"/>
      <c r="BZ20" s="29"/>
      <c r="CA20" s="29"/>
      <c r="CB20" s="29"/>
      <c r="CC20" s="29"/>
      <c r="CD20" s="29"/>
      <c r="CE20" s="75"/>
      <c r="CF20" s="29"/>
      <c r="CG20" s="29"/>
      <c r="CH20" s="29"/>
      <c r="CI20" s="29"/>
      <c r="CJ20" s="245"/>
      <c r="CK20" s="24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165"/>
      <c r="BHG20" s="166"/>
      <c r="BHH20" s="166"/>
      <c r="BHI20" s="166"/>
      <c r="BHJ20" s="166"/>
      <c r="BHK20" s="166"/>
      <c r="BHL20" s="166"/>
      <c r="BHM20" s="166"/>
      <c r="BHN20" s="166"/>
      <c r="BHO20" s="166"/>
      <c r="BHP20" s="166"/>
      <c r="BHQ20" s="166"/>
      <c r="BHR20" s="166"/>
      <c r="BHS20" s="166"/>
      <c r="BHT20" s="166"/>
      <c r="BHU20" s="166"/>
      <c r="BHV20" s="166"/>
      <c r="BHW20" s="166"/>
      <c r="BHX20" s="166"/>
      <c r="BHY20" s="166"/>
      <c r="BHZ20" s="166"/>
      <c r="BIA20" s="166"/>
      <c r="BIB20" s="166"/>
      <c r="BIC20" s="166"/>
      <c r="BID20" s="166"/>
      <c r="BIE20" s="166"/>
      <c r="BIF20" s="166"/>
      <c r="BIG20" s="166"/>
      <c r="BIH20" s="166"/>
      <c r="BII20" s="166"/>
      <c r="BIJ20" s="166"/>
      <c r="BIK20" s="166"/>
      <c r="BIL20" s="166"/>
      <c r="BIM20" s="166"/>
      <c r="BIN20" s="166"/>
      <c r="BIO20" s="166"/>
      <c r="BIP20" s="166"/>
      <c r="BIQ20" s="166"/>
      <c r="BIR20" s="166"/>
      <c r="BIS20" s="166"/>
      <c r="BIT20" s="166"/>
      <c r="BIU20" s="166"/>
      <c r="BIV20" s="166"/>
      <c r="BIW20" s="166"/>
      <c r="BIX20" s="166"/>
      <c r="BIY20" s="166"/>
      <c r="BIZ20" s="166"/>
      <c r="BJA20" s="166"/>
      <c r="BJB20" s="166"/>
      <c r="BJC20" s="166"/>
      <c r="BJD20" s="166"/>
      <c r="BJE20" s="166"/>
      <c r="BJF20" s="166"/>
      <c r="BJG20" s="166"/>
      <c r="BJH20" s="166"/>
      <c r="BJI20" s="166"/>
      <c r="BJJ20" s="166"/>
      <c r="BJK20" s="166"/>
      <c r="BJL20" s="166"/>
      <c r="BJM20" s="166"/>
      <c r="BJN20" s="166"/>
      <c r="BJO20" s="166"/>
      <c r="BJP20" s="166"/>
      <c r="BJQ20" s="166"/>
      <c r="BJR20" s="166"/>
      <c r="BJS20" s="166"/>
      <c r="BJT20" s="166"/>
      <c r="BJU20" s="166"/>
      <c r="BJV20" s="166"/>
      <c r="BJW20" s="166"/>
      <c r="BJX20" s="166"/>
      <c r="BJY20" s="166"/>
      <c r="BJZ20" s="166"/>
      <c r="BKA20" s="166"/>
      <c r="BKB20" s="166"/>
      <c r="BKC20" s="166"/>
      <c r="BKD20" s="166"/>
      <c r="BKE20" s="166"/>
      <c r="BKF20" s="166"/>
      <c r="BKG20" s="166"/>
      <c r="BKH20" s="166"/>
      <c r="BKI20" s="166"/>
      <c r="BKJ20" s="166"/>
      <c r="BKK20" s="166"/>
      <c r="BKL20" s="166"/>
      <c r="BKM20" s="166"/>
      <c r="BKN20" s="166"/>
      <c r="BKO20" s="166"/>
      <c r="BKP20" s="166"/>
      <c r="BKQ20" s="166"/>
      <c r="BKR20" s="166"/>
      <c r="BKS20" s="166"/>
      <c r="BKT20" s="166"/>
      <c r="BKU20" s="166"/>
      <c r="BKV20" s="166"/>
      <c r="BKW20" s="166"/>
      <c r="BKX20" s="166"/>
      <c r="BKY20" s="166"/>
      <c r="BKZ20" s="166"/>
      <c r="BLA20" s="166"/>
      <c r="BLB20" s="166"/>
      <c r="BLC20" s="166"/>
      <c r="BLD20" s="166"/>
      <c r="BLE20" s="166"/>
      <c r="BLF20" s="166"/>
      <c r="BLG20" s="166"/>
      <c r="BLH20" s="166"/>
      <c r="BLI20" s="166"/>
      <c r="BLJ20" s="166"/>
      <c r="BLK20" s="166"/>
      <c r="BLL20" s="166"/>
      <c r="BLM20" s="166"/>
      <c r="BLN20" s="166"/>
      <c r="BLO20" s="166"/>
      <c r="BLP20" s="166"/>
      <c r="BLQ20" s="166"/>
      <c r="BLR20" s="166"/>
      <c r="BLS20" s="166"/>
      <c r="BLT20" s="166"/>
      <c r="BLU20" s="166"/>
      <c r="BLV20" s="166"/>
      <c r="BLW20" s="166"/>
      <c r="BLX20" s="166"/>
      <c r="BLY20" s="166"/>
      <c r="BLZ20" s="166"/>
      <c r="BMA20" s="166"/>
      <c r="BMB20" s="166"/>
      <c r="BMC20" s="166"/>
      <c r="BMD20" s="166"/>
      <c r="BME20" s="166"/>
      <c r="BMF20" s="166"/>
      <c r="BMG20" s="166"/>
      <c r="BMH20" s="166"/>
      <c r="BMI20" s="166"/>
      <c r="BMJ20" s="166"/>
      <c r="BMK20" s="166"/>
      <c r="BML20" s="166"/>
      <c r="BMM20" s="166"/>
      <c r="BMN20" s="166"/>
      <c r="BMO20" s="166"/>
      <c r="BMP20" s="166"/>
      <c r="BMQ20" s="166"/>
      <c r="BMR20" s="166"/>
      <c r="BMS20" s="166"/>
      <c r="BMT20" s="166"/>
      <c r="BMU20" s="166"/>
      <c r="BMV20" s="166"/>
      <c r="BMW20" s="166"/>
      <c r="BMX20" s="166"/>
      <c r="BMY20" s="166"/>
      <c r="BMZ20" s="166"/>
      <c r="BNA20" s="166"/>
      <c r="BNB20" s="166"/>
      <c r="BNC20" s="166"/>
      <c r="BND20" s="166"/>
      <c r="BNE20" s="166"/>
      <c r="BNF20" s="166"/>
      <c r="BNG20" s="166"/>
      <c r="BNH20" s="166"/>
      <c r="BNI20" s="166"/>
      <c r="BNJ20" s="166"/>
      <c r="BNK20" s="166"/>
      <c r="BNL20" s="166"/>
      <c r="BNM20" s="166"/>
      <c r="BNN20" s="166"/>
      <c r="BNO20" s="166"/>
      <c r="BNP20" s="166"/>
      <c r="BNQ20" s="166"/>
      <c r="BNR20" s="166"/>
      <c r="BNS20" s="166"/>
      <c r="BNT20" s="166"/>
      <c r="BNU20" s="166"/>
      <c r="BNV20" s="166"/>
      <c r="BNW20" s="166"/>
      <c r="BNX20" s="166"/>
      <c r="BNY20" s="166"/>
      <c r="BNZ20" s="166"/>
      <c r="BOA20" s="166"/>
      <c r="BOB20" s="166"/>
      <c r="BOC20" s="166"/>
      <c r="BOD20" s="166"/>
      <c r="BOE20" s="166"/>
      <c r="BOF20" s="166"/>
      <c r="BOG20" s="166"/>
      <c r="BOH20" s="166"/>
      <c r="BOI20" s="166"/>
      <c r="BOJ20" s="166"/>
      <c r="BOK20" s="166"/>
      <c r="BOL20" s="166"/>
      <c r="BOM20" s="166"/>
      <c r="BON20" s="166"/>
      <c r="BOO20" s="166"/>
      <c r="BOP20" s="166"/>
      <c r="BOQ20" s="166"/>
      <c r="BOR20" s="166"/>
      <c r="BOS20" s="166"/>
      <c r="BOT20" s="166"/>
      <c r="BOU20" s="166"/>
      <c r="BOV20" s="166"/>
      <c r="BOW20" s="166"/>
      <c r="BOX20" s="166"/>
      <c r="BOY20" s="166"/>
      <c r="BOZ20" s="166"/>
      <c r="BPA20" s="166"/>
      <c r="BPB20" s="166"/>
      <c r="BPC20" s="166"/>
      <c r="BPD20" s="166"/>
      <c r="BPE20" s="166"/>
      <c r="BPF20" s="166"/>
      <c r="BPG20" s="166"/>
      <c r="BPH20" s="166"/>
      <c r="BPI20" s="166"/>
      <c r="BPJ20" s="166"/>
      <c r="BPK20" s="166"/>
      <c r="BPL20" s="166"/>
      <c r="BPM20" s="166"/>
      <c r="BPN20" s="166"/>
      <c r="BPO20" s="166"/>
      <c r="BPP20" s="166"/>
      <c r="BPQ20" s="166"/>
      <c r="BPR20" s="166"/>
      <c r="BPS20" s="166"/>
      <c r="BPT20" s="166"/>
      <c r="BPU20" s="166"/>
      <c r="BPV20" s="166"/>
      <c r="BPW20" s="166"/>
      <c r="BPX20" s="166"/>
      <c r="BPY20" s="166"/>
      <c r="BPZ20" s="166"/>
      <c r="BQA20" s="166"/>
      <c r="BQB20" s="166"/>
      <c r="BQC20" s="166"/>
      <c r="BQD20" s="166"/>
      <c r="BQE20" s="166"/>
      <c r="BQF20" s="166"/>
      <c r="BQG20" s="166"/>
      <c r="BQH20" s="166"/>
      <c r="BQI20" s="166"/>
      <c r="BQJ20" s="166"/>
      <c r="BQK20" s="166"/>
      <c r="BQL20" s="166"/>
      <c r="BQM20" s="166"/>
      <c r="BQN20" s="166"/>
      <c r="BQO20" s="166"/>
      <c r="BQP20" s="166"/>
      <c r="BQQ20" s="166"/>
      <c r="BQR20" s="166"/>
      <c r="BQS20" s="166"/>
      <c r="BQT20" s="166"/>
      <c r="BQU20" s="166"/>
      <c r="BQV20" s="166"/>
      <c r="BQW20" s="166"/>
      <c r="BQX20" s="166"/>
      <c r="BQY20" s="166"/>
      <c r="BQZ20" s="166"/>
      <c r="BRA20" s="166"/>
      <c r="BRB20" s="166"/>
      <c r="BRC20" s="166"/>
      <c r="BRD20" s="166"/>
      <c r="BRE20" s="166"/>
      <c r="BRF20" s="166"/>
      <c r="BRG20" s="166"/>
      <c r="BRH20" s="166"/>
      <c r="BRI20" s="166"/>
      <c r="BRJ20" s="166"/>
      <c r="BRK20" s="166"/>
      <c r="BRL20" s="166"/>
      <c r="BRM20" s="166"/>
      <c r="BRN20" s="166"/>
      <c r="BRO20" s="166"/>
      <c r="BRP20" s="166"/>
      <c r="BRQ20" s="166"/>
      <c r="BRR20" s="166"/>
      <c r="BRS20" s="166"/>
      <c r="BRT20" s="166"/>
      <c r="BRU20" s="166"/>
      <c r="BRV20" s="166"/>
      <c r="BRW20" s="166"/>
      <c r="BRX20" s="166"/>
      <c r="BRY20" s="166"/>
      <c r="BRZ20" s="166"/>
      <c r="BSA20" s="166"/>
      <c r="BSB20" s="166"/>
      <c r="BSC20" s="166"/>
      <c r="BSD20" s="166"/>
      <c r="BSE20" s="166"/>
      <c r="BSF20" s="166"/>
      <c r="BSG20" s="166"/>
      <c r="BSH20" s="166"/>
      <c r="BSI20" s="166"/>
      <c r="BSJ20" s="166"/>
      <c r="BSK20" s="166"/>
      <c r="BSL20" s="166"/>
      <c r="BSM20" s="166"/>
      <c r="BSN20" s="166"/>
      <c r="BSO20" s="166"/>
      <c r="BSP20" s="166"/>
      <c r="BSQ20" s="166"/>
      <c r="BSR20" s="166"/>
      <c r="BSS20" s="166"/>
    </row>
    <row r="21" spans="1:1865" ht="20.100000000000001" customHeight="1" x14ac:dyDescent="0.25">
      <c r="A21" s="100" t="s">
        <v>20</v>
      </c>
      <c r="B21" s="63" t="str">
        <f>IF(LEN(C27)=0,"",C27)</f>
        <v>Analyse - Chargement de fichiers</v>
      </c>
      <c r="C21" s="207" t="s">
        <v>17</v>
      </c>
      <c r="D21" s="146" t="str">
        <f t="shared" si="0"/>
        <v>4h30min</v>
      </c>
      <c r="E21" s="31">
        <v>54</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169"/>
      <c r="AO21" s="171"/>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169"/>
      <c r="DE21" s="169"/>
      <c r="DF21" s="169"/>
      <c r="DG21" s="169"/>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169"/>
      <c r="FO21" s="169"/>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169"/>
      <c r="HM21" s="171"/>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169"/>
      <c r="JU21" s="171"/>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169"/>
      <c r="MC21" s="171"/>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169"/>
      <c r="OU21" s="169"/>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169"/>
      <c r="QS21" s="171"/>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169"/>
      <c r="TA21" s="171"/>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169"/>
      <c r="VS21" s="169"/>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169"/>
      <c r="XQ21" s="171"/>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169"/>
      <c r="AAI21" s="169"/>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169"/>
      <c r="ACG21" s="171"/>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169"/>
      <c r="AEO21" s="171"/>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169"/>
      <c r="AGW21" s="171"/>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169"/>
      <c r="AJO21" s="169"/>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169"/>
      <c r="ALM21" s="171"/>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169"/>
      <c r="ANU21" s="171"/>
      <c r="ANV21" s="33"/>
      <c r="ANW21" s="33"/>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169"/>
      <c r="AQC21" s="171"/>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169"/>
      <c r="ASK21" s="171"/>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169"/>
      <c r="AUS21" s="171"/>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169"/>
      <c r="AXK21" s="169"/>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169"/>
      <c r="AZS21" s="169"/>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33"/>
      <c r="BCB21" s="169"/>
      <c r="BCC21" s="171"/>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37"/>
      <c r="BDZ21" s="169"/>
      <c r="BEA21" s="169"/>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169"/>
      <c r="BGI21" s="169"/>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165"/>
      <c r="BHG21" s="166"/>
      <c r="BHH21" s="166"/>
      <c r="BHI21" s="166"/>
      <c r="BHJ21" s="166"/>
      <c r="BHK21" s="166"/>
      <c r="BHL21" s="166"/>
      <c r="BHM21" s="166"/>
      <c r="BHN21" s="166"/>
      <c r="BHO21" s="166"/>
      <c r="BHP21" s="166"/>
      <c r="BHQ21" s="166"/>
      <c r="BHR21" s="166"/>
      <c r="BHS21" s="166"/>
      <c r="BHT21" s="166"/>
      <c r="BHU21" s="166"/>
      <c r="BHV21" s="166"/>
      <c r="BHW21" s="166"/>
      <c r="BHX21" s="166"/>
      <c r="BHY21" s="166"/>
      <c r="BHZ21" s="166"/>
      <c r="BIA21" s="166"/>
      <c r="BIB21" s="166"/>
      <c r="BIC21" s="166"/>
      <c r="BID21" s="166"/>
      <c r="BIE21" s="166"/>
      <c r="BIF21" s="166"/>
      <c r="BIG21" s="166"/>
      <c r="BIH21" s="166"/>
      <c r="BII21" s="166"/>
      <c r="BIJ21" s="166"/>
      <c r="BIK21" s="166"/>
      <c r="BIL21" s="166"/>
      <c r="BIM21" s="166"/>
      <c r="BIN21" s="166"/>
      <c r="BIO21" s="166"/>
      <c r="BIP21" s="166"/>
      <c r="BIQ21" s="166"/>
      <c r="BIR21" s="166"/>
      <c r="BIS21" s="166"/>
      <c r="BIT21" s="166"/>
      <c r="BIU21" s="166"/>
      <c r="BIV21" s="166"/>
      <c r="BIW21" s="166"/>
      <c r="BIX21" s="166"/>
      <c r="BIY21" s="166"/>
      <c r="BIZ21" s="166"/>
      <c r="BJA21" s="166"/>
      <c r="BJB21" s="166"/>
      <c r="BJC21" s="166"/>
      <c r="BJD21" s="166"/>
      <c r="BJE21" s="166"/>
      <c r="BJF21" s="166"/>
      <c r="BJG21" s="166"/>
      <c r="BJH21" s="166"/>
      <c r="BJI21" s="166"/>
      <c r="BJJ21" s="166"/>
      <c r="BJK21" s="166"/>
      <c r="BJL21" s="166"/>
      <c r="BJM21" s="166"/>
      <c r="BJN21" s="166"/>
      <c r="BJO21" s="166"/>
      <c r="BJP21" s="166"/>
      <c r="BJQ21" s="166"/>
      <c r="BJR21" s="166"/>
      <c r="BJS21" s="166"/>
      <c r="BJT21" s="166"/>
      <c r="BJU21" s="166"/>
      <c r="BJV21" s="166"/>
      <c r="BJW21" s="166"/>
      <c r="BJX21" s="166"/>
      <c r="BJY21" s="166"/>
      <c r="BJZ21" s="166"/>
      <c r="BKA21" s="166"/>
      <c r="BKB21" s="166"/>
      <c r="BKC21" s="166"/>
      <c r="BKD21" s="166"/>
      <c r="BKE21" s="166"/>
      <c r="BKF21" s="166"/>
      <c r="BKG21" s="166"/>
      <c r="BKH21" s="166"/>
      <c r="BKI21" s="166"/>
      <c r="BKJ21" s="166"/>
      <c r="BKK21" s="166"/>
      <c r="BKL21" s="166"/>
      <c r="BKM21" s="166"/>
      <c r="BKN21" s="166"/>
      <c r="BKO21" s="166"/>
      <c r="BKP21" s="166"/>
      <c r="BKQ21" s="166"/>
      <c r="BKR21" s="166"/>
      <c r="BKS21" s="166"/>
      <c r="BKT21" s="166"/>
      <c r="BKU21" s="166"/>
      <c r="BKV21" s="166"/>
      <c r="BKW21" s="166"/>
      <c r="BKX21" s="166"/>
      <c r="BKY21" s="166"/>
      <c r="BKZ21" s="166"/>
      <c r="BLA21" s="166"/>
      <c r="BLB21" s="166"/>
      <c r="BLC21" s="166"/>
      <c r="BLD21" s="166"/>
      <c r="BLE21" s="166"/>
      <c r="BLF21" s="166"/>
      <c r="BLG21" s="166"/>
      <c r="BLH21" s="166"/>
      <c r="BLI21" s="166"/>
      <c r="BLJ21" s="166"/>
      <c r="BLK21" s="166"/>
      <c r="BLL21" s="166"/>
      <c r="BLM21" s="166"/>
      <c r="BLN21" s="166"/>
      <c r="BLO21" s="166"/>
      <c r="BLP21" s="166"/>
      <c r="BLQ21" s="166"/>
      <c r="BLR21" s="166"/>
      <c r="BLS21" s="166"/>
      <c r="BLT21" s="166"/>
      <c r="BLU21" s="166"/>
      <c r="BLV21" s="166"/>
      <c r="BLW21" s="166"/>
      <c r="BLX21" s="166"/>
      <c r="BLY21" s="166"/>
      <c r="BLZ21" s="166"/>
      <c r="BMA21" s="166"/>
      <c r="BMB21" s="166"/>
      <c r="BMC21" s="166"/>
      <c r="BMD21" s="166"/>
      <c r="BME21" s="166"/>
      <c r="BMF21" s="166"/>
      <c r="BMG21" s="166"/>
      <c r="BMH21" s="166"/>
      <c r="BMI21" s="166"/>
      <c r="BMJ21" s="166"/>
      <c r="BMK21" s="166"/>
      <c r="BML21" s="166"/>
      <c r="BMM21" s="166"/>
      <c r="BMN21" s="166"/>
      <c r="BMO21" s="166"/>
      <c r="BMP21" s="166"/>
      <c r="BMQ21" s="166"/>
      <c r="BMR21" s="166"/>
      <c r="BMS21" s="166"/>
      <c r="BMT21" s="166"/>
      <c r="BMU21" s="166"/>
      <c r="BMV21" s="166"/>
      <c r="BMW21" s="166"/>
      <c r="BMX21" s="166"/>
      <c r="BMY21" s="166"/>
      <c r="BMZ21" s="166"/>
      <c r="BNA21" s="166"/>
      <c r="BNB21" s="166"/>
      <c r="BNC21" s="166"/>
      <c r="BND21" s="166"/>
      <c r="BNE21" s="166"/>
      <c r="BNF21" s="166"/>
      <c r="BNG21" s="166"/>
      <c r="BNH21" s="166"/>
      <c r="BNI21" s="166"/>
      <c r="BNJ21" s="166"/>
      <c r="BNK21" s="166"/>
      <c r="BNL21" s="166"/>
      <c r="BNM21" s="166"/>
      <c r="BNN21" s="166"/>
      <c r="BNO21" s="166"/>
      <c r="BNP21" s="166"/>
      <c r="BNQ21" s="166"/>
      <c r="BNR21" s="166"/>
      <c r="BNS21" s="166"/>
      <c r="BNT21" s="166"/>
      <c r="BNU21" s="166"/>
      <c r="BNV21" s="166"/>
      <c r="BNW21" s="166"/>
      <c r="BNX21" s="166"/>
      <c r="BNY21" s="166"/>
      <c r="BNZ21" s="166"/>
      <c r="BOA21" s="166"/>
      <c r="BOB21" s="166"/>
      <c r="BOC21" s="166"/>
      <c r="BOD21" s="166"/>
      <c r="BOE21" s="166"/>
      <c r="BOF21" s="166"/>
      <c r="BOG21" s="166"/>
      <c r="BOH21" s="166"/>
      <c r="BOI21" s="166"/>
      <c r="BOJ21" s="166"/>
      <c r="BOK21" s="166"/>
      <c r="BOL21" s="166"/>
      <c r="BOM21" s="166"/>
      <c r="BON21" s="166"/>
      <c r="BOO21" s="166"/>
      <c r="BOP21" s="166"/>
      <c r="BOQ21" s="166"/>
      <c r="BOR21" s="166"/>
      <c r="BOS21" s="166"/>
      <c r="BOT21" s="166"/>
      <c r="BOU21" s="166"/>
      <c r="BOV21" s="166"/>
      <c r="BOW21" s="166"/>
      <c r="BOX21" s="166"/>
      <c r="BOY21" s="166"/>
      <c r="BOZ21" s="166"/>
      <c r="BPA21" s="166"/>
      <c r="BPB21" s="166"/>
      <c r="BPC21" s="166"/>
      <c r="BPD21" s="166"/>
      <c r="BPE21" s="166"/>
      <c r="BPF21" s="166"/>
      <c r="BPG21" s="166"/>
      <c r="BPH21" s="166"/>
      <c r="BPI21" s="166"/>
      <c r="BPJ21" s="166"/>
      <c r="BPK21" s="166"/>
      <c r="BPL21" s="166"/>
      <c r="BPM21" s="166"/>
      <c r="BPN21" s="166"/>
      <c r="BPO21" s="166"/>
      <c r="BPP21" s="166"/>
      <c r="BPQ21" s="166"/>
      <c r="BPR21" s="166"/>
      <c r="BPS21" s="166"/>
      <c r="BPT21" s="166"/>
      <c r="BPU21" s="166"/>
      <c r="BPV21" s="166"/>
      <c r="BPW21" s="166"/>
      <c r="BPX21" s="166"/>
      <c r="BPY21" s="166"/>
      <c r="BPZ21" s="166"/>
      <c r="BQA21" s="166"/>
      <c r="BQB21" s="166"/>
      <c r="BQC21" s="166"/>
      <c r="BQD21" s="166"/>
      <c r="BQE21" s="166"/>
      <c r="BQF21" s="166"/>
      <c r="BQG21" s="166"/>
      <c r="BQH21" s="166"/>
      <c r="BQI21" s="166"/>
      <c r="BQJ21" s="166"/>
      <c r="BQK21" s="166"/>
      <c r="BQL21" s="166"/>
      <c r="BQM21" s="166"/>
      <c r="BQN21" s="166"/>
      <c r="BQO21" s="166"/>
      <c r="BQP21" s="166"/>
      <c r="BQQ21" s="166"/>
      <c r="BQR21" s="166"/>
      <c r="BQS21" s="166"/>
      <c r="BQT21" s="166"/>
      <c r="BQU21" s="166"/>
      <c r="BQV21" s="166"/>
      <c r="BQW21" s="166"/>
      <c r="BQX21" s="166"/>
      <c r="BQY21" s="166"/>
      <c r="BQZ21" s="166"/>
      <c r="BRA21" s="166"/>
      <c r="BRB21" s="166"/>
      <c r="BRC21" s="166"/>
      <c r="BRD21" s="166"/>
      <c r="BRE21" s="166"/>
      <c r="BRF21" s="166"/>
      <c r="BRG21" s="166"/>
      <c r="BRH21" s="166"/>
      <c r="BRI21" s="166"/>
      <c r="BRJ21" s="166"/>
      <c r="BRK21" s="166"/>
      <c r="BRL21" s="166"/>
      <c r="BRM21" s="166"/>
      <c r="BRN21" s="166"/>
      <c r="BRO21" s="166"/>
      <c r="BRP21" s="166"/>
      <c r="BRQ21" s="166"/>
      <c r="BRR21" s="166"/>
      <c r="BRS21" s="166"/>
      <c r="BRT21" s="166"/>
      <c r="BRU21" s="166"/>
      <c r="BRV21" s="166"/>
      <c r="BRW21" s="166"/>
      <c r="BRX21" s="166"/>
      <c r="BRY21" s="166"/>
      <c r="BRZ21" s="166"/>
      <c r="BSA21" s="166"/>
      <c r="BSB21" s="166"/>
      <c r="BSC21" s="166"/>
      <c r="BSD21" s="166"/>
      <c r="BSE21" s="166"/>
      <c r="BSF21" s="166"/>
      <c r="BSG21" s="166"/>
      <c r="BSH21" s="166"/>
      <c r="BSI21" s="166"/>
      <c r="BSJ21" s="166"/>
      <c r="BSK21" s="166"/>
      <c r="BSL21" s="166"/>
      <c r="BSM21" s="166"/>
      <c r="BSN21" s="166"/>
      <c r="BSO21" s="166"/>
      <c r="BSP21" s="166"/>
      <c r="BSQ21" s="166"/>
      <c r="BSR21" s="166"/>
      <c r="BSS21" s="166"/>
    </row>
    <row r="22" spans="1:1865" ht="20.100000000000001" customHeight="1" x14ac:dyDescent="0.25">
      <c r="A22" s="100" t="s">
        <v>21</v>
      </c>
      <c r="B22" s="63" t="str">
        <f>IF(LEN(C29)=0,"",C29)</f>
        <v>Réunion - Lancement du projet</v>
      </c>
      <c r="C22" s="208"/>
      <c r="D22" s="147" t="str">
        <f t="shared" si="0"/>
        <v>0h35min</v>
      </c>
      <c r="E22" s="35">
        <v>7</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243"/>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243"/>
      <c r="CH22" s="243"/>
      <c r="CI22" s="243"/>
      <c r="CJ22" s="37"/>
      <c r="CK22" s="138"/>
      <c r="CL22" s="37"/>
      <c r="CM22" s="37"/>
      <c r="CN22" s="37"/>
      <c r="CO22" s="37"/>
      <c r="CP22" s="37"/>
      <c r="CQ22" s="75"/>
      <c r="CR22" s="65"/>
      <c r="CS22" s="65"/>
      <c r="CT22" s="65"/>
      <c r="CU22" s="65"/>
      <c r="CV22" s="37"/>
      <c r="CW22" s="249"/>
      <c r="CX22" s="243"/>
      <c r="CY22" s="243"/>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165"/>
      <c r="BHG22" s="166"/>
      <c r="BHH22" s="166"/>
      <c r="BHI22" s="166"/>
      <c r="BHJ22" s="166"/>
      <c r="BHK22" s="166"/>
      <c r="BHL22" s="166"/>
      <c r="BHM22" s="166"/>
      <c r="BHN22" s="166"/>
      <c r="BHO22" s="166"/>
      <c r="BHP22" s="166"/>
      <c r="BHQ22" s="166"/>
      <c r="BHR22" s="166"/>
      <c r="BHS22" s="166"/>
      <c r="BHT22" s="166"/>
      <c r="BHU22" s="166"/>
      <c r="BHV22" s="166"/>
      <c r="BHW22" s="166"/>
      <c r="BHX22" s="166"/>
      <c r="BHY22" s="166"/>
      <c r="BHZ22" s="166"/>
      <c r="BIA22" s="166"/>
      <c r="BIB22" s="166"/>
      <c r="BIC22" s="166"/>
      <c r="BID22" s="166"/>
      <c r="BIE22" s="166"/>
      <c r="BIF22" s="166"/>
      <c r="BIG22" s="166"/>
      <c r="BIH22" s="166"/>
      <c r="BII22" s="166"/>
      <c r="BIJ22" s="166"/>
      <c r="BIK22" s="166"/>
      <c r="BIL22" s="166"/>
      <c r="BIM22" s="166"/>
      <c r="BIN22" s="166"/>
      <c r="BIO22" s="166"/>
      <c r="BIP22" s="166"/>
      <c r="BIQ22" s="166"/>
      <c r="BIR22" s="166"/>
      <c r="BIS22" s="166"/>
      <c r="BIT22" s="166"/>
      <c r="BIU22" s="166"/>
      <c r="BIV22" s="166"/>
      <c r="BIW22" s="166"/>
      <c r="BIX22" s="166"/>
      <c r="BIY22" s="166"/>
      <c r="BIZ22" s="166"/>
      <c r="BJA22" s="166"/>
      <c r="BJB22" s="166"/>
      <c r="BJC22" s="166"/>
      <c r="BJD22" s="166"/>
      <c r="BJE22" s="166"/>
      <c r="BJF22" s="166"/>
      <c r="BJG22" s="166"/>
      <c r="BJH22" s="166"/>
      <c r="BJI22" s="166"/>
      <c r="BJJ22" s="166"/>
      <c r="BJK22" s="166"/>
      <c r="BJL22" s="166"/>
      <c r="BJM22" s="166"/>
      <c r="BJN22" s="166"/>
      <c r="BJO22" s="166"/>
      <c r="BJP22" s="166"/>
      <c r="BJQ22" s="166"/>
      <c r="BJR22" s="166"/>
      <c r="BJS22" s="166"/>
      <c r="BJT22" s="166"/>
      <c r="BJU22" s="166"/>
      <c r="BJV22" s="166"/>
      <c r="BJW22" s="166"/>
      <c r="BJX22" s="166"/>
      <c r="BJY22" s="166"/>
      <c r="BJZ22" s="166"/>
      <c r="BKA22" s="166"/>
      <c r="BKB22" s="166"/>
      <c r="BKC22" s="166"/>
      <c r="BKD22" s="166"/>
      <c r="BKE22" s="166"/>
      <c r="BKF22" s="166"/>
      <c r="BKG22" s="166"/>
      <c r="BKH22" s="166"/>
      <c r="BKI22" s="166"/>
      <c r="BKJ22" s="166"/>
      <c r="BKK22" s="166"/>
      <c r="BKL22" s="166"/>
      <c r="BKM22" s="166"/>
      <c r="BKN22" s="166"/>
      <c r="BKO22" s="166"/>
      <c r="BKP22" s="166"/>
      <c r="BKQ22" s="166"/>
      <c r="BKR22" s="166"/>
      <c r="BKS22" s="166"/>
      <c r="BKT22" s="166"/>
      <c r="BKU22" s="166"/>
      <c r="BKV22" s="166"/>
      <c r="BKW22" s="166"/>
      <c r="BKX22" s="166"/>
      <c r="BKY22" s="166"/>
      <c r="BKZ22" s="166"/>
      <c r="BLA22" s="166"/>
      <c r="BLB22" s="166"/>
      <c r="BLC22" s="166"/>
      <c r="BLD22" s="166"/>
      <c r="BLE22" s="166"/>
      <c r="BLF22" s="166"/>
      <c r="BLG22" s="166"/>
      <c r="BLH22" s="166"/>
      <c r="BLI22" s="166"/>
      <c r="BLJ22" s="166"/>
      <c r="BLK22" s="166"/>
      <c r="BLL22" s="166"/>
      <c r="BLM22" s="166"/>
      <c r="BLN22" s="166"/>
      <c r="BLO22" s="166"/>
      <c r="BLP22" s="166"/>
      <c r="BLQ22" s="166"/>
      <c r="BLR22" s="166"/>
      <c r="BLS22" s="166"/>
      <c r="BLT22" s="166"/>
      <c r="BLU22" s="166"/>
      <c r="BLV22" s="166"/>
      <c r="BLW22" s="166"/>
      <c r="BLX22" s="166"/>
      <c r="BLY22" s="166"/>
      <c r="BLZ22" s="166"/>
      <c r="BMA22" s="166"/>
      <c r="BMB22" s="166"/>
      <c r="BMC22" s="166"/>
      <c r="BMD22" s="166"/>
      <c r="BME22" s="166"/>
      <c r="BMF22" s="166"/>
      <c r="BMG22" s="166"/>
      <c r="BMH22" s="166"/>
      <c r="BMI22" s="166"/>
      <c r="BMJ22" s="166"/>
      <c r="BMK22" s="166"/>
      <c r="BML22" s="166"/>
      <c r="BMM22" s="166"/>
      <c r="BMN22" s="166"/>
      <c r="BMO22" s="166"/>
      <c r="BMP22" s="166"/>
      <c r="BMQ22" s="166"/>
      <c r="BMR22" s="166"/>
      <c r="BMS22" s="166"/>
      <c r="BMT22" s="166"/>
      <c r="BMU22" s="166"/>
      <c r="BMV22" s="166"/>
      <c r="BMW22" s="166"/>
      <c r="BMX22" s="166"/>
      <c r="BMY22" s="166"/>
      <c r="BMZ22" s="166"/>
      <c r="BNA22" s="166"/>
      <c r="BNB22" s="166"/>
      <c r="BNC22" s="166"/>
      <c r="BND22" s="166"/>
      <c r="BNE22" s="166"/>
      <c r="BNF22" s="166"/>
      <c r="BNG22" s="166"/>
      <c r="BNH22" s="166"/>
      <c r="BNI22" s="166"/>
      <c r="BNJ22" s="166"/>
      <c r="BNK22" s="166"/>
      <c r="BNL22" s="166"/>
      <c r="BNM22" s="166"/>
      <c r="BNN22" s="166"/>
      <c r="BNO22" s="166"/>
      <c r="BNP22" s="166"/>
      <c r="BNQ22" s="166"/>
      <c r="BNR22" s="166"/>
      <c r="BNS22" s="166"/>
      <c r="BNT22" s="166"/>
      <c r="BNU22" s="166"/>
      <c r="BNV22" s="166"/>
      <c r="BNW22" s="166"/>
      <c r="BNX22" s="166"/>
      <c r="BNY22" s="166"/>
      <c r="BNZ22" s="166"/>
      <c r="BOA22" s="166"/>
      <c r="BOB22" s="166"/>
      <c r="BOC22" s="166"/>
      <c r="BOD22" s="166"/>
      <c r="BOE22" s="166"/>
      <c r="BOF22" s="166"/>
      <c r="BOG22" s="166"/>
      <c r="BOH22" s="166"/>
      <c r="BOI22" s="166"/>
      <c r="BOJ22" s="166"/>
      <c r="BOK22" s="166"/>
      <c r="BOL22" s="166"/>
      <c r="BOM22" s="166"/>
      <c r="BON22" s="166"/>
      <c r="BOO22" s="166"/>
      <c r="BOP22" s="166"/>
      <c r="BOQ22" s="166"/>
      <c r="BOR22" s="166"/>
      <c r="BOS22" s="166"/>
      <c r="BOT22" s="166"/>
      <c r="BOU22" s="166"/>
      <c r="BOV22" s="166"/>
      <c r="BOW22" s="166"/>
      <c r="BOX22" s="166"/>
      <c r="BOY22" s="166"/>
      <c r="BOZ22" s="166"/>
      <c r="BPA22" s="166"/>
      <c r="BPB22" s="166"/>
      <c r="BPC22" s="166"/>
      <c r="BPD22" s="166"/>
      <c r="BPE22" s="166"/>
      <c r="BPF22" s="166"/>
      <c r="BPG22" s="166"/>
      <c r="BPH22" s="166"/>
      <c r="BPI22" s="166"/>
      <c r="BPJ22" s="166"/>
      <c r="BPK22" s="166"/>
      <c r="BPL22" s="166"/>
      <c r="BPM22" s="166"/>
      <c r="BPN22" s="166"/>
      <c r="BPO22" s="166"/>
      <c r="BPP22" s="166"/>
      <c r="BPQ22" s="166"/>
      <c r="BPR22" s="166"/>
      <c r="BPS22" s="166"/>
      <c r="BPT22" s="166"/>
      <c r="BPU22" s="166"/>
      <c r="BPV22" s="166"/>
      <c r="BPW22" s="166"/>
      <c r="BPX22" s="166"/>
      <c r="BPY22" s="166"/>
      <c r="BPZ22" s="166"/>
      <c r="BQA22" s="166"/>
      <c r="BQB22" s="166"/>
      <c r="BQC22" s="166"/>
      <c r="BQD22" s="166"/>
      <c r="BQE22" s="166"/>
      <c r="BQF22" s="166"/>
      <c r="BQG22" s="166"/>
      <c r="BQH22" s="166"/>
      <c r="BQI22" s="166"/>
      <c r="BQJ22" s="166"/>
      <c r="BQK22" s="166"/>
      <c r="BQL22" s="166"/>
      <c r="BQM22" s="166"/>
      <c r="BQN22" s="166"/>
      <c r="BQO22" s="166"/>
      <c r="BQP22" s="166"/>
      <c r="BQQ22" s="166"/>
      <c r="BQR22" s="166"/>
      <c r="BQS22" s="166"/>
      <c r="BQT22" s="166"/>
      <c r="BQU22" s="166"/>
      <c r="BQV22" s="166"/>
      <c r="BQW22" s="166"/>
      <c r="BQX22" s="166"/>
      <c r="BQY22" s="166"/>
      <c r="BQZ22" s="166"/>
      <c r="BRA22" s="166"/>
      <c r="BRB22" s="166"/>
      <c r="BRC22" s="166"/>
      <c r="BRD22" s="166"/>
      <c r="BRE22" s="166"/>
      <c r="BRF22" s="166"/>
      <c r="BRG22" s="166"/>
      <c r="BRH22" s="166"/>
      <c r="BRI22" s="166"/>
      <c r="BRJ22" s="166"/>
      <c r="BRK22" s="166"/>
      <c r="BRL22" s="166"/>
      <c r="BRM22" s="166"/>
      <c r="BRN22" s="166"/>
      <c r="BRO22" s="166"/>
      <c r="BRP22" s="166"/>
      <c r="BRQ22" s="166"/>
      <c r="BRR22" s="166"/>
      <c r="BRS22" s="166"/>
      <c r="BRT22" s="166"/>
      <c r="BRU22" s="166"/>
      <c r="BRV22" s="166"/>
      <c r="BRW22" s="166"/>
      <c r="BRX22" s="166"/>
      <c r="BRY22" s="166"/>
      <c r="BRZ22" s="166"/>
      <c r="BSA22" s="166"/>
      <c r="BSB22" s="166"/>
      <c r="BSC22" s="166"/>
      <c r="BSD22" s="166"/>
      <c r="BSE22" s="166"/>
      <c r="BSF22" s="166"/>
      <c r="BSG22" s="166"/>
      <c r="BSH22" s="166"/>
      <c r="BSI22" s="166"/>
      <c r="BSJ22" s="166"/>
      <c r="BSK22" s="166"/>
      <c r="BSL22" s="166"/>
      <c r="BSM22" s="166"/>
      <c r="BSN22" s="166"/>
      <c r="BSO22" s="166"/>
      <c r="BSP22" s="166"/>
      <c r="BSQ22" s="166"/>
      <c r="BSR22" s="166"/>
      <c r="BSS22" s="166"/>
    </row>
    <row r="23" spans="1:1865" ht="20.100000000000001" customHeight="1" x14ac:dyDescent="0.25">
      <c r="A23" s="100" t="s">
        <v>20</v>
      </c>
      <c r="B23" s="63" t="str">
        <f>IF(LEN(C31)=0,"",C31)</f>
        <v>Git - Mise en place d'un Git</v>
      </c>
      <c r="C23" s="207" t="s">
        <v>16</v>
      </c>
      <c r="D23" s="146" t="str">
        <f t="shared" si="0"/>
        <v>13h40min</v>
      </c>
      <c r="E23" s="39">
        <v>164</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177"/>
      <c r="AQ23" s="177"/>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177"/>
      <c r="DI23" s="17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177"/>
      <c r="FQ23" s="17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177"/>
      <c r="HO23" s="177"/>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177"/>
      <c r="JW23" s="177"/>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177"/>
      <c r="ME23" s="177"/>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177"/>
      <c r="OW23" s="17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177"/>
      <c r="QU23" s="177"/>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177"/>
      <c r="TC23" s="177"/>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177"/>
      <c r="VU23" s="17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177"/>
      <c r="XS23" s="177"/>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177"/>
      <c r="AAK23" s="17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177"/>
      <c r="ACI23" s="177"/>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177"/>
      <c r="AEQ23" s="177"/>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177"/>
      <c r="AGY23" s="177"/>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177"/>
      <c r="AJQ23" s="17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177"/>
      <c r="ALO23" s="177"/>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177"/>
      <c r="ANW23" s="177"/>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41"/>
      <c r="APQ23" s="139"/>
      <c r="APR23" s="41"/>
      <c r="APS23" s="41"/>
      <c r="APT23" s="41"/>
      <c r="APU23" s="41"/>
      <c r="APV23" s="41"/>
      <c r="APW23" s="76"/>
      <c r="APX23" s="66"/>
      <c r="APY23" s="66"/>
      <c r="APZ23" s="66"/>
      <c r="AQA23" s="66"/>
      <c r="AQB23" s="41"/>
      <c r="AQC23" s="139"/>
      <c r="AQD23" s="177"/>
      <c r="AQE23" s="177"/>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177"/>
      <c r="ASM23" s="177"/>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177"/>
      <c r="AUU23" s="177"/>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177"/>
      <c r="AXM23" s="17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177"/>
      <c r="AZU23" s="179"/>
      <c r="AZV23" s="41"/>
      <c r="AZW23" s="41"/>
      <c r="AZX23" s="41"/>
      <c r="AZY23" s="41"/>
      <c r="AZZ23" s="41"/>
      <c r="BAA23" s="76"/>
      <c r="BAB23" s="41"/>
      <c r="BAC23" s="41"/>
      <c r="BAD23" s="41"/>
      <c r="BAE23" s="41"/>
      <c r="BAF23" s="41"/>
      <c r="BAG23" s="42"/>
      <c r="BAH23" s="175"/>
      <c r="BAI23" s="176"/>
      <c r="BAJ23" s="176"/>
      <c r="BAK23" s="176"/>
      <c r="BAL23" s="177"/>
      <c r="BAM23" s="178"/>
      <c r="BAN23" s="177"/>
      <c r="BAO23" s="177"/>
      <c r="BAP23" s="177"/>
      <c r="BAQ23" s="177"/>
      <c r="BAR23" s="177"/>
      <c r="BAS23" s="179"/>
      <c r="BAT23" s="177"/>
      <c r="BAU23" s="177"/>
      <c r="BAV23" s="177"/>
      <c r="BAW23" s="177"/>
      <c r="BAX23" s="177"/>
      <c r="BAY23" s="180"/>
      <c r="BAZ23" s="177"/>
      <c r="BBA23" s="177"/>
      <c r="BBB23" s="177"/>
      <c r="BBC23" s="177"/>
      <c r="BBD23" s="177"/>
      <c r="BBE23" s="179"/>
      <c r="BBF23" s="177"/>
      <c r="BBG23" s="177"/>
      <c r="BBH23" s="177"/>
      <c r="BBI23" s="177"/>
      <c r="BBJ23" s="177"/>
      <c r="BBK23" s="180"/>
      <c r="BBL23" s="176"/>
      <c r="BBM23" s="176"/>
      <c r="BBN23" s="176"/>
      <c r="BBO23" s="176"/>
      <c r="BBP23" s="177"/>
      <c r="BBQ23" s="179"/>
      <c r="BBR23" s="177"/>
      <c r="BBS23" s="177"/>
      <c r="BBT23" s="177"/>
      <c r="BBU23" s="177"/>
      <c r="BBV23" s="177"/>
      <c r="BBW23" s="180"/>
      <c r="BBX23" s="177"/>
      <c r="BBY23" s="177"/>
      <c r="BBZ23" s="177"/>
      <c r="BCA23" s="177"/>
      <c r="BCB23" s="41"/>
      <c r="BCC23" s="139"/>
      <c r="BCD23" s="41"/>
      <c r="BCE23" s="41"/>
      <c r="BCF23" s="41"/>
      <c r="BCG23" s="41"/>
      <c r="BCH23" s="41"/>
      <c r="BCI23" s="76"/>
      <c r="BCJ23" s="41"/>
      <c r="BCK23" s="41"/>
      <c r="BCL23" s="41"/>
      <c r="BCM23" s="41"/>
      <c r="BCN23" s="41"/>
      <c r="BCO23" s="42"/>
      <c r="BCP23" s="175"/>
      <c r="BCQ23" s="176"/>
      <c r="BCR23" s="176"/>
      <c r="BCS23" s="176"/>
      <c r="BCT23" s="177"/>
      <c r="BCU23" s="178"/>
      <c r="BCV23" s="177"/>
      <c r="BCW23" s="177"/>
      <c r="BCX23" s="177"/>
      <c r="BCY23" s="177"/>
      <c r="BCZ23" s="177"/>
      <c r="BDA23" s="179"/>
      <c r="BDB23" s="177"/>
      <c r="BDC23" s="177"/>
      <c r="BDD23" s="177"/>
      <c r="BDE23" s="177"/>
      <c r="BDF23" s="177"/>
      <c r="BDG23" s="180"/>
      <c r="BDH23" s="177"/>
      <c r="BDI23" s="177"/>
      <c r="BDJ23" s="177"/>
      <c r="BDK23" s="177"/>
      <c r="BDL23" s="177"/>
      <c r="BDM23" s="179"/>
      <c r="BDN23" s="177"/>
      <c r="BDO23" s="177"/>
      <c r="BDP23" s="177"/>
      <c r="BDQ23" s="177"/>
      <c r="BDR23" s="177"/>
      <c r="BDS23" s="180"/>
      <c r="BDT23" s="176"/>
      <c r="BDU23" s="176"/>
      <c r="BDV23" s="176"/>
      <c r="BDW23" s="176"/>
      <c r="BDX23" s="177"/>
      <c r="BDY23" s="17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175"/>
      <c r="BEY23" s="176"/>
      <c r="BEZ23" s="176"/>
      <c r="BFA23" s="176"/>
      <c r="BFB23" s="177"/>
      <c r="BFC23" s="178"/>
      <c r="BFD23" s="177"/>
      <c r="BFE23" s="177"/>
      <c r="BFF23" s="177"/>
      <c r="BFG23" s="177"/>
      <c r="BFH23" s="177"/>
      <c r="BFI23" s="179"/>
      <c r="BFJ23" s="177"/>
      <c r="BFK23" s="177"/>
      <c r="BFL23" s="177"/>
      <c r="BFM23" s="177"/>
      <c r="BFN23" s="177"/>
      <c r="BFO23" s="180"/>
      <c r="BFP23" s="177"/>
      <c r="BFQ23" s="177"/>
      <c r="BFR23" s="177"/>
      <c r="BFS23" s="177"/>
      <c r="BFT23" s="177"/>
      <c r="BFU23" s="179"/>
      <c r="BFV23" s="177"/>
      <c r="BFW23" s="177"/>
      <c r="BFX23" s="177"/>
      <c r="BFY23" s="177"/>
      <c r="BFZ23" s="177"/>
      <c r="BGA23" s="180"/>
      <c r="BGB23" s="176"/>
      <c r="BGC23" s="176"/>
      <c r="BGD23" s="176"/>
      <c r="BGE23" s="176"/>
      <c r="BGF23" s="177"/>
      <c r="BGG23" s="17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65"/>
      <c r="BHG23" s="166"/>
      <c r="BHH23" s="166"/>
      <c r="BHI23" s="166"/>
      <c r="BHJ23" s="166"/>
      <c r="BHK23" s="166"/>
      <c r="BHL23" s="166"/>
      <c r="BHM23" s="166"/>
      <c r="BHN23" s="166"/>
      <c r="BHO23" s="166"/>
      <c r="BHP23" s="166"/>
      <c r="BHQ23" s="166"/>
      <c r="BHR23" s="166"/>
      <c r="BHS23" s="166"/>
      <c r="BHT23" s="166"/>
      <c r="BHU23" s="166"/>
      <c r="BHV23" s="166"/>
      <c r="BHW23" s="166"/>
      <c r="BHX23" s="166"/>
      <c r="BHY23" s="166"/>
      <c r="BHZ23" s="166"/>
      <c r="BIA23" s="166"/>
      <c r="BIB23" s="166"/>
      <c r="BIC23" s="166"/>
      <c r="BID23" s="166"/>
      <c r="BIE23" s="166"/>
      <c r="BIF23" s="166"/>
      <c r="BIG23" s="166"/>
      <c r="BIH23" s="166"/>
      <c r="BII23" s="166"/>
      <c r="BIJ23" s="166"/>
      <c r="BIK23" s="166"/>
      <c r="BIL23" s="166"/>
      <c r="BIM23" s="166"/>
      <c r="BIN23" s="166"/>
      <c r="BIO23" s="166"/>
      <c r="BIP23" s="166"/>
      <c r="BIQ23" s="166"/>
      <c r="BIR23" s="166"/>
      <c r="BIS23" s="166"/>
      <c r="BIT23" s="166"/>
      <c r="BIU23" s="166"/>
      <c r="BIV23" s="166"/>
      <c r="BIW23" s="166"/>
      <c r="BIX23" s="166"/>
      <c r="BIY23" s="166"/>
      <c r="BIZ23" s="166"/>
      <c r="BJA23" s="166"/>
      <c r="BJB23" s="166"/>
      <c r="BJC23" s="166"/>
      <c r="BJD23" s="166"/>
      <c r="BJE23" s="166"/>
      <c r="BJF23" s="166"/>
      <c r="BJG23" s="166"/>
      <c r="BJH23" s="166"/>
      <c r="BJI23" s="166"/>
      <c r="BJJ23" s="166"/>
      <c r="BJK23" s="166"/>
      <c r="BJL23" s="166"/>
      <c r="BJM23" s="166"/>
      <c r="BJN23" s="166"/>
      <c r="BJO23" s="166"/>
      <c r="BJP23" s="166"/>
      <c r="BJQ23" s="166"/>
      <c r="BJR23" s="166"/>
      <c r="BJS23" s="166"/>
      <c r="BJT23" s="166"/>
      <c r="BJU23" s="166"/>
      <c r="BJV23" s="166"/>
      <c r="BJW23" s="166"/>
      <c r="BJX23" s="166"/>
      <c r="BJY23" s="166"/>
      <c r="BJZ23" s="166"/>
      <c r="BKA23" s="166"/>
      <c r="BKB23" s="166"/>
      <c r="BKC23" s="166"/>
      <c r="BKD23" s="166"/>
      <c r="BKE23" s="166"/>
      <c r="BKF23" s="166"/>
      <c r="BKG23" s="166"/>
      <c r="BKH23" s="166"/>
      <c r="BKI23" s="166"/>
      <c r="BKJ23" s="166"/>
      <c r="BKK23" s="166"/>
      <c r="BKL23" s="166"/>
      <c r="BKM23" s="166"/>
      <c r="BKN23" s="166"/>
      <c r="BKO23" s="166"/>
      <c r="BKP23" s="166"/>
      <c r="BKQ23" s="166"/>
      <c r="BKR23" s="166"/>
      <c r="BKS23" s="166"/>
      <c r="BKT23" s="166"/>
      <c r="BKU23" s="166"/>
      <c r="BKV23" s="166"/>
      <c r="BKW23" s="166"/>
      <c r="BKX23" s="166"/>
      <c r="BKY23" s="166"/>
      <c r="BKZ23" s="166"/>
      <c r="BLA23" s="166"/>
      <c r="BLB23" s="166"/>
      <c r="BLC23" s="166"/>
      <c r="BLD23" s="166"/>
      <c r="BLE23" s="166"/>
      <c r="BLF23" s="166"/>
      <c r="BLG23" s="166"/>
      <c r="BLH23" s="166"/>
      <c r="BLI23" s="166"/>
      <c r="BLJ23" s="166"/>
      <c r="BLK23" s="166"/>
      <c r="BLL23" s="166"/>
      <c r="BLM23" s="166"/>
      <c r="BLN23" s="166"/>
      <c r="BLO23" s="166"/>
      <c r="BLP23" s="166"/>
      <c r="BLQ23" s="166"/>
      <c r="BLR23" s="166"/>
      <c r="BLS23" s="166"/>
      <c r="BLT23" s="166"/>
      <c r="BLU23" s="166"/>
      <c r="BLV23" s="166"/>
      <c r="BLW23" s="166"/>
      <c r="BLX23" s="166"/>
      <c r="BLY23" s="166"/>
      <c r="BLZ23" s="166"/>
      <c r="BMA23" s="166"/>
      <c r="BMB23" s="166"/>
      <c r="BMC23" s="166"/>
      <c r="BMD23" s="166"/>
      <c r="BME23" s="166"/>
      <c r="BMF23" s="166"/>
      <c r="BMG23" s="166"/>
      <c r="BMH23" s="166"/>
      <c r="BMI23" s="166"/>
      <c r="BMJ23" s="166"/>
      <c r="BMK23" s="166"/>
      <c r="BML23" s="166"/>
      <c r="BMM23" s="166"/>
      <c r="BMN23" s="166"/>
      <c r="BMO23" s="166"/>
      <c r="BMP23" s="166"/>
      <c r="BMQ23" s="166"/>
      <c r="BMR23" s="166"/>
      <c r="BMS23" s="166"/>
      <c r="BMT23" s="166"/>
      <c r="BMU23" s="166"/>
      <c r="BMV23" s="166"/>
      <c r="BMW23" s="166"/>
      <c r="BMX23" s="166"/>
      <c r="BMY23" s="166"/>
      <c r="BMZ23" s="166"/>
      <c r="BNA23" s="166"/>
      <c r="BNB23" s="166"/>
      <c r="BNC23" s="166"/>
      <c r="BND23" s="166"/>
      <c r="BNE23" s="166"/>
      <c r="BNF23" s="166"/>
      <c r="BNG23" s="166"/>
      <c r="BNH23" s="166"/>
      <c r="BNI23" s="166"/>
      <c r="BNJ23" s="166"/>
      <c r="BNK23" s="166"/>
      <c r="BNL23" s="166"/>
      <c r="BNM23" s="166"/>
      <c r="BNN23" s="166"/>
      <c r="BNO23" s="166"/>
      <c r="BNP23" s="166"/>
      <c r="BNQ23" s="166"/>
      <c r="BNR23" s="166"/>
      <c r="BNS23" s="166"/>
      <c r="BNT23" s="166"/>
      <c r="BNU23" s="166"/>
      <c r="BNV23" s="166"/>
      <c r="BNW23" s="166"/>
      <c r="BNX23" s="166"/>
      <c r="BNY23" s="166"/>
      <c r="BNZ23" s="166"/>
      <c r="BOA23" s="166"/>
      <c r="BOB23" s="166"/>
      <c r="BOC23" s="166"/>
      <c r="BOD23" s="166"/>
      <c r="BOE23" s="166"/>
      <c r="BOF23" s="166"/>
      <c r="BOG23" s="166"/>
      <c r="BOH23" s="166"/>
      <c r="BOI23" s="166"/>
      <c r="BOJ23" s="166"/>
      <c r="BOK23" s="166"/>
      <c r="BOL23" s="166"/>
      <c r="BOM23" s="166"/>
      <c r="BON23" s="166"/>
      <c r="BOO23" s="166"/>
      <c r="BOP23" s="166"/>
      <c r="BOQ23" s="166"/>
      <c r="BOR23" s="166"/>
      <c r="BOS23" s="166"/>
      <c r="BOT23" s="166"/>
      <c r="BOU23" s="166"/>
      <c r="BOV23" s="166"/>
      <c r="BOW23" s="166"/>
      <c r="BOX23" s="166"/>
      <c r="BOY23" s="166"/>
      <c r="BOZ23" s="166"/>
      <c r="BPA23" s="166"/>
      <c r="BPB23" s="166"/>
      <c r="BPC23" s="166"/>
      <c r="BPD23" s="166"/>
      <c r="BPE23" s="166"/>
      <c r="BPF23" s="166"/>
      <c r="BPG23" s="166"/>
      <c r="BPH23" s="166"/>
      <c r="BPI23" s="166"/>
      <c r="BPJ23" s="166"/>
      <c r="BPK23" s="166"/>
      <c r="BPL23" s="166"/>
      <c r="BPM23" s="166"/>
      <c r="BPN23" s="166"/>
      <c r="BPO23" s="166"/>
      <c r="BPP23" s="166"/>
      <c r="BPQ23" s="166"/>
      <c r="BPR23" s="166"/>
      <c r="BPS23" s="166"/>
      <c r="BPT23" s="166"/>
      <c r="BPU23" s="166"/>
      <c r="BPV23" s="166"/>
      <c r="BPW23" s="166"/>
      <c r="BPX23" s="166"/>
      <c r="BPY23" s="166"/>
      <c r="BPZ23" s="166"/>
      <c r="BQA23" s="166"/>
      <c r="BQB23" s="166"/>
      <c r="BQC23" s="166"/>
      <c r="BQD23" s="166"/>
      <c r="BQE23" s="166"/>
      <c r="BQF23" s="166"/>
      <c r="BQG23" s="166"/>
      <c r="BQH23" s="166"/>
      <c r="BQI23" s="166"/>
      <c r="BQJ23" s="166"/>
      <c r="BQK23" s="166"/>
      <c r="BQL23" s="166"/>
      <c r="BQM23" s="166"/>
      <c r="BQN23" s="166"/>
      <c r="BQO23" s="166"/>
      <c r="BQP23" s="166"/>
      <c r="BQQ23" s="166"/>
      <c r="BQR23" s="166"/>
      <c r="BQS23" s="166"/>
      <c r="BQT23" s="166"/>
      <c r="BQU23" s="166"/>
      <c r="BQV23" s="166"/>
      <c r="BQW23" s="166"/>
      <c r="BQX23" s="166"/>
      <c r="BQY23" s="166"/>
      <c r="BQZ23" s="166"/>
      <c r="BRA23" s="166"/>
      <c r="BRB23" s="166"/>
      <c r="BRC23" s="166"/>
      <c r="BRD23" s="166"/>
      <c r="BRE23" s="166"/>
      <c r="BRF23" s="166"/>
      <c r="BRG23" s="166"/>
      <c r="BRH23" s="166"/>
      <c r="BRI23" s="166"/>
      <c r="BRJ23" s="166"/>
      <c r="BRK23" s="166"/>
      <c r="BRL23" s="166"/>
      <c r="BRM23" s="166"/>
      <c r="BRN23" s="166"/>
      <c r="BRO23" s="166"/>
      <c r="BRP23" s="166"/>
      <c r="BRQ23" s="166"/>
      <c r="BRR23" s="166"/>
      <c r="BRS23" s="166"/>
      <c r="BRT23" s="166"/>
      <c r="BRU23" s="166"/>
      <c r="BRV23" s="166"/>
      <c r="BRW23" s="166"/>
      <c r="BRX23" s="166"/>
      <c r="BRY23" s="166"/>
      <c r="BRZ23" s="166"/>
      <c r="BSA23" s="166"/>
      <c r="BSB23" s="166"/>
      <c r="BSC23" s="166"/>
      <c r="BSD23" s="166"/>
      <c r="BSE23" s="166"/>
      <c r="BSF23" s="166"/>
      <c r="BSG23" s="166"/>
      <c r="BSH23" s="166"/>
      <c r="BSI23" s="166"/>
      <c r="BSJ23" s="166"/>
      <c r="BSK23" s="166"/>
      <c r="BSL23" s="166"/>
      <c r="BSM23" s="166"/>
      <c r="BSN23" s="166"/>
      <c r="BSO23" s="166"/>
      <c r="BSP23" s="166"/>
      <c r="BSQ23" s="166"/>
      <c r="BSR23" s="166"/>
      <c r="BSS23" s="166"/>
    </row>
    <row r="24" spans="1:1865" ht="20.100000000000001" customHeight="1" x14ac:dyDescent="0.25">
      <c r="A24" s="100" t="s">
        <v>21</v>
      </c>
      <c r="B24" s="63" t="str">
        <f>IF(LEN(C33)=0,"",C33)</f>
        <v>Réalisation - Chargement de fichiers</v>
      </c>
      <c r="C24" s="208"/>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165"/>
      <c r="BHG24" s="166"/>
      <c r="BHH24" s="166"/>
      <c r="BHI24" s="166"/>
      <c r="BHJ24" s="166"/>
      <c r="BHK24" s="166"/>
      <c r="BHL24" s="166"/>
      <c r="BHM24" s="166"/>
      <c r="BHN24" s="166"/>
      <c r="BHO24" s="166"/>
      <c r="BHP24" s="166"/>
      <c r="BHQ24" s="166"/>
      <c r="BHR24" s="166"/>
      <c r="BHS24" s="166"/>
      <c r="BHT24" s="166"/>
      <c r="BHU24" s="166"/>
      <c r="BHV24" s="166"/>
      <c r="BHW24" s="166"/>
      <c r="BHX24" s="166"/>
      <c r="BHY24" s="166"/>
      <c r="BHZ24" s="166"/>
      <c r="BIA24" s="166"/>
      <c r="BIB24" s="166"/>
      <c r="BIC24" s="166"/>
      <c r="BID24" s="166"/>
      <c r="BIE24" s="166"/>
      <c r="BIF24" s="166"/>
      <c r="BIG24" s="166"/>
      <c r="BIH24" s="166"/>
      <c r="BII24" s="166"/>
      <c r="BIJ24" s="166"/>
      <c r="BIK24" s="166"/>
      <c r="BIL24" s="166"/>
      <c r="BIM24" s="166"/>
      <c r="BIN24" s="166"/>
      <c r="BIO24" s="166"/>
      <c r="BIP24" s="166"/>
      <c r="BIQ24" s="166"/>
      <c r="BIR24" s="166"/>
      <c r="BIS24" s="166"/>
      <c r="BIT24" s="166"/>
      <c r="BIU24" s="166"/>
      <c r="BIV24" s="166"/>
      <c r="BIW24" s="166"/>
      <c r="BIX24" s="166"/>
      <c r="BIY24" s="166"/>
      <c r="BIZ24" s="166"/>
      <c r="BJA24" s="166"/>
      <c r="BJB24" s="166"/>
      <c r="BJC24" s="166"/>
      <c r="BJD24" s="166"/>
      <c r="BJE24" s="166"/>
      <c r="BJF24" s="166"/>
      <c r="BJG24" s="166"/>
      <c r="BJH24" s="166"/>
      <c r="BJI24" s="166"/>
      <c r="BJJ24" s="166"/>
      <c r="BJK24" s="166"/>
      <c r="BJL24" s="166"/>
      <c r="BJM24" s="166"/>
      <c r="BJN24" s="166"/>
      <c r="BJO24" s="166"/>
      <c r="BJP24" s="166"/>
      <c r="BJQ24" s="166"/>
      <c r="BJR24" s="166"/>
      <c r="BJS24" s="166"/>
      <c r="BJT24" s="166"/>
      <c r="BJU24" s="166"/>
      <c r="BJV24" s="166"/>
      <c r="BJW24" s="166"/>
      <c r="BJX24" s="166"/>
      <c r="BJY24" s="166"/>
      <c r="BJZ24" s="166"/>
      <c r="BKA24" s="166"/>
      <c r="BKB24" s="166"/>
      <c r="BKC24" s="166"/>
      <c r="BKD24" s="166"/>
      <c r="BKE24" s="166"/>
      <c r="BKF24" s="166"/>
      <c r="BKG24" s="166"/>
      <c r="BKH24" s="166"/>
      <c r="BKI24" s="166"/>
      <c r="BKJ24" s="166"/>
      <c r="BKK24" s="166"/>
      <c r="BKL24" s="166"/>
      <c r="BKM24" s="166"/>
      <c r="BKN24" s="166"/>
      <c r="BKO24" s="166"/>
      <c r="BKP24" s="166"/>
      <c r="BKQ24" s="166"/>
      <c r="BKR24" s="166"/>
      <c r="BKS24" s="166"/>
      <c r="BKT24" s="166"/>
      <c r="BKU24" s="166"/>
      <c r="BKV24" s="166"/>
      <c r="BKW24" s="166"/>
      <c r="BKX24" s="166"/>
      <c r="BKY24" s="166"/>
      <c r="BKZ24" s="166"/>
      <c r="BLA24" s="166"/>
      <c r="BLB24" s="166"/>
      <c r="BLC24" s="166"/>
      <c r="BLD24" s="166"/>
      <c r="BLE24" s="166"/>
      <c r="BLF24" s="166"/>
      <c r="BLG24" s="166"/>
      <c r="BLH24" s="166"/>
      <c r="BLI24" s="166"/>
      <c r="BLJ24" s="166"/>
      <c r="BLK24" s="166"/>
      <c r="BLL24" s="166"/>
      <c r="BLM24" s="166"/>
      <c r="BLN24" s="166"/>
      <c r="BLO24" s="166"/>
      <c r="BLP24" s="166"/>
      <c r="BLQ24" s="166"/>
      <c r="BLR24" s="166"/>
      <c r="BLS24" s="166"/>
      <c r="BLT24" s="166"/>
      <c r="BLU24" s="166"/>
      <c r="BLV24" s="166"/>
      <c r="BLW24" s="166"/>
      <c r="BLX24" s="166"/>
      <c r="BLY24" s="166"/>
      <c r="BLZ24" s="166"/>
      <c r="BMA24" s="166"/>
      <c r="BMB24" s="166"/>
      <c r="BMC24" s="166"/>
      <c r="BMD24" s="166"/>
      <c r="BME24" s="166"/>
      <c r="BMF24" s="166"/>
      <c r="BMG24" s="166"/>
      <c r="BMH24" s="166"/>
      <c r="BMI24" s="166"/>
      <c r="BMJ24" s="166"/>
      <c r="BMK24" s="166"/>
      <c r="BML24" s="166"/>
      <c r="BMM24" s="166"/>
      <c r="BMN24" s="166"/>
      <c r="BMO24" s="166"/>
      <c r="BMP24" s="166"/>
      <c r="BMQ24" s="166"/>
      <c r="BMR24" s="166"/>
      <c r="BMS24" s="166"/>
      <c r="BMT24" s="166"/>
      <c r="BMU24" s="166"/>
      <c r="BMV24" s="166"/>
      <c r="BMW24" s="166"/>
      <c r="BMX24" s="166"/>
      <c r="BMY24" s="166"/>
      <c r="BMZ24" s="166"/>
      <c r="BNA24" s="166"/>
      <c r="BNB24" s="166"/>
      <c r="BNC24" s="166"/>
      <c r="BND24" s="166"/>
      <c r="BNE24" s="166"/>
      <c r="BNF24" s="166"/>
      <c r="BNG24" s="166"/>
      <c r="BNH24" s="166"/>
      <c r="BNI24" s="166"/>
      <c r="BNJ24" s="166"/>
      <c r="BNK24" s="166"/>
      <c r="BNL24" s="166"/>
      <c r="BNM24" s="166"/>
      <c r="BNN24" s="166"/>
      <c r="BNO24" s="166"/>
      <c r="BNP24" s="166"/>
      <c r="BNQ24" s="166"/>
      <c r="BNR24" s="166"/>
      <c r="BNS24" s="166"/>
      <c r="BNT24" s="166"/>
      <c r="BNU24" s="166"/>
      <c r="BNV24" s="166"/>
      <c r="BNW24" s="166"/>
      <c r="BNX24" s="166"/>
      <c r="BNY24" s="166"/>
      <c r="BNZ24" s="166"/>
      <c r="BOA24" s="166"/>
      <c r="BOB24" s="166"/>
      <c r="BOC24" s="166"/>
      <c r="BOD24" s="166"/>
      <c r="BOE24" s="166"/>
      <c r="BOF24" s="166"/>
      <c r="BOG24" s="166"/>
      <c r="BOH24" s="166"/>
      <c r="BOI24" s="166"/>
      <c r="BOJ24" s="166"/>
      <c r="BOK24" s="166"/>
      <c r="BOL24" s="166"/>
      <c r="BOM24" s="166"/>
      <c r="BON24" s="166"/>
      <c r="BOO24" s="166"/>
      <c r="BOP24" s="166"/>
      <c r="BOQ24" s="166"/>
      <c r="BOR24" s="166"/>
      <c r="BOS24" s="166"/>
      <c r="BOT24" s="166"/>
      <c r="BOU24" s="166"/>
      <c r="BOV24" s="166"/>
      <c r="BOW24" s="166"/>
      <c r="BOX24" s="166"/>
      <c r="BOY24" s="166"/>
      <c r="BOZ24" s="166"/>
      <c r="BPA24" s="166"/>
      <c r="BPB24" s="166"/>
      <c r="BPC24" s="166"/>
      <c r="BPD24" s="166"/>
      <c r="BPE24" s="166"/>
      <c r="BPF24" s="166"/>
      <c r="BPG24" s="166"/>
      <c r="BPH24" s="166"/>
      <c r="BPI24" s="166"/>
      <c r="BPJ24" s="166"/>
      <c r="BPK24" s="166"/>
      <c r="BPL24" s="166"/>
      <c r="BPM24" s="166"/>
      <c r="BPN24" s="166"/>
      <c r="BPO24" s="166"/>
      <c r="BPP24" s="166"/>
      <c r="BPQ24" s="166"/>
      <c r="BPR24" s="166"/>
      <c r="BPS24" s="166"/>
      <c r="BPT24" s="166"/>
      <c r="BPU24" s="166"/>
      <c r="BPV24" s="166"/>
      <c r="BPW24" s="166"/>
      <c r="BPX24" s="166"/>
      <c r="BPY24" s="166"/>
      <c r="BPZ24" s="166"/>
      <c r="BQA24" s="166"/>
      <c r="BQB24" s="166"/>
      <c r="BQC24" s="166"/>
      <c r="BQD24" s="166"/>
      <c r="BQE24" s="166"/>
      <c r="BQF24" s="166"/>
      <c r="BQG24" s="166"/>
      <c r="BQH24" s="166"/>
      <c r="BQI24" s="166"/>
      <c r="BQJ24" s="166"/>
      <c r="BQK24" s="166"/>
      <c r="BQL24" s="166"/>
      <c r="BQM24" s="166"/>
      <c r="BQN24" s="166"/>
      <c r="BQO24" s="166"/>
      <c r="BQP24" s="166"/>
      <c r="BQQ24" s="166"/>
      <c r="BQR24" s="166"/>
      <c r="BQS24" s="166"/>
      <c r="BQT24" s="166"/>
      <c r="BQU24" s="166"/>
      <c r="BQV24" s="166"/>
      <c r="BQW24" s="166"/>
      <c r="BQX24" s="166"/>
      <c r="BQY24" s="166"/>
      <c r="BQZ24" s="166"/>
      <c r="BRA24" s="166"/>
      <c r="BRB24" s="166"/>
      <c r="BRC24" s="166"/>
      <c r="BRD24" s="166"/>
      <c r="BRE24" s="166"/>
      <c r="BRF24" s="166"/>
      <c r="BRG24" s="166"/>
      <c r="BRH24" s="166"/>
      <c r="BRI24" s="166"/>
      <c r="BRJ24" s="166"/>
      <c r="BRK24" s="166"/>
      <c r="BRL24" s="166"/>
      <c r="BRM24" s="166"/>
      <c r="BRN24" s="166"/>
      <c r="BRO24" s="166"/>
      <c r="BRP24" s="166"/>
      <c r="BRQ24" s="166"/>
      <c r="BRR24" s="166"/>
      <c r="BRS24" s="166"/>
      <c r="BRT24" s="166"/>
      <c r="BRU24" s="166"/>
      <c r="BRV24" s="166"/>
      <c r="BRW24" s="166"/>
      <c r="BRX24" s="166"/>
      <c r="BRY24" s="166"/>
      <c r="BRZ24" s="166"/>
      <c r="BSA24" s="166"/>
      <c r="BSB24" s="166"/>
      <c r="BSC24" s="166"/>
      <c r="BSD24" s="166"/>
      <c r="BSE24" s="166"/>
      <c r="BSF24" s="166"/>
      <c r="BSG24" s="166"/>
      <c r="BSH24" s="166"/>
      <c r="BSI24" s="166"/>
      <c r="BSJ24" s="166"/>
      <c r="BSK24" s="166"/>
      <c r="BSL24" s="166"/>
      <c r="BSM24" s="166"/>
      <c r="BSN24" s="166"/>
      <c r="BSO24" s="166"/>
      <c r="BSP24" s="166"/>
      <c r="BSQ24" s="166"/>
      <c r="BSR24" s="166"/>
      <c r="BSS24" s="166"/>
    </row>
    <row r="25" spans="1:1865" ht="20.100000000000001" customHeight="1" x14ac:dyDescent="0.25">
      <c r="A25" s="100" t="s">
        <v>20</v>
      </c>
      <c r="B25" s="63" t="str">
        <f>IF(LEN(C35)=0,"",C35)</f>
        <v>Réalisation - Vérification du format automatique</v>
      </c>
      <c r="C25" s="207" t="s">
        <v>89</v>
      </c>
      <c r="D25" s="146" t="str">
        <f t="shared" si="0"/>
        <v>0h30min</v>
      </c>
      <c r="E25" s="31">
        <v>6</v>
      </c>
      <c r="F25" s="167"/>
      <c r="G25" s="168"/>
      <c r="H25" s="168"/>
      <c r="I25" s="168"/>
      <c r="J25" s="169"/>
      <c r="K25" s="170"/>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165"/>
      <c r="BHG25" s="166"/>
      <c r="BHH25" s="166"/>
      <c r="BHI25" s="166"/>
      <c r="BHJ25" s="166"/>
      <c r="BHK25" s="166"/>
      <c r="BHL25" s="166"/>
      <c r="BHM25" s="166"/>
      <c r="BHN25" s="166"/>
      <c r="BHO25" s="166"/>
      <c r="BHP25" s="166"/>
      <c r="BHQ25" s="166"/>
      <c r="BHR25" s="166"/>
      <c r="BHS25" s="166"/>
      <c r="BHT25" s="166"/>
      <c r="BHU25" s="166"/>
      <c r="BHV25" s="166"/>
      <c r="BHW25" s="166"/>
      <c r="BHX25" s="166"/>
      <c r="BHY25" s="166"/>
      <c r="BHZ25" s="166"/>
      <c r="BIA25" s="166"/>
      <c r="BIB25" s="166"/>
      <c r="BIC25" s="166"/>
      <c r="BID25" s="166"/>
      <c r="BIE25" s="166"/>
      <c r="BIF25" s="166"/>
      <c r="BIG25" s="166"/>
      <c r="BIH25" s="166"/>
      <c r="BII25" s="166"/>
      <c r="BIJ25" s="166"/>
      <c r="BIK25" s="166"/>
      <c r="BIL25" s="166"/>
      <c r="BIM25" s="166"/>
      <c r="BIN25" s="166"/>
      <c r="BIO25" s="166"/>
      <c r="BIP25" s="166"/>
      <c r="BIQ25" s="166"/>
      <c r="BIR25" s="166"/>
      <c r="BIS25" s="166"/>
      <c r="BIT25" s="166"/>
      <c r="BIU25" s="166"/>
      <c r="BIV25" s="166"/>
      <c r="BIW25" s="166"/>
      <c r="BIX25" s="166"/>
      <c r="BIY25" s="166"/>
      <c r="BIZ25" s="166"/>
      <c r="BJA25" s="166"/>
      <c r="BJB25" s="166"/>
      <c r="BJC25" s="166"/>
      <c r="BJD25" s="166"/>
      <c r="BJE25" s="166"/>
      <c r="BJF25" s="166"/>
      <c r="BJG25" s="166"/>
      <c r="BJH25" s="166"/>
      <c r="BJI25" s="166"/>
      <c r="BJJ25" s="166"/>
      <c r="BJK25" s="166"/>
      <c r="BJL25" s="166"/>
      <c r="BJM25" s="166"/>
      <c r="BJN25" s="166"/>
      <c r="BJO25" s="166"/>
      <c r="BJP25" s="166"/>
      <c r="BJQ25" s="166"/>
      <c r="BJR25" s="166"/>
      <c r="BJS25" s="166"/>
      <c r="BJT25" s="166"/>
      <c r="BJU25" s="166"/>
      <c r="BJV25" s="166"/>
      <c r="BJW25" s="166"/>
      <c r="BJX25" s="166"/>
      <c r="BJY25" s="166"/>
      <c r="BJZ25" s="166"/>
      <c r="BKA25" s="166"/>
      <c r="BKB25" s="166"/>
      <c r="BKC25" s="166"/>
      <c r="BKD25" s="166"/>
      <c r="BKE25" s="166"/>
      <c r="BKF25" s="166"/>
      <c r="BKG25" s="166"/>
      <c r="BKH25" s="166"/>
      <c r="BKI25" s="166"/>
      <c r="BKJ25" s="166"/>
      <c r="BKK25" s="166"/>
      <c r="BKL25" s="166"/>
      <c r="BKM25" s="166"/>
      <c r="BKN25" s="166"/>
      <c r="BKO25" s="166"/>
      <c r="BKP25" s="166"/>
      <c r="BKQ25" s="166"/>
      <c r="BKR25" s="166"/>
      <c r="BKS25" s="166"/>
      <c r="BKT25" s="166"/>
      <c r="BKU25" s="166"/>
      <c r="BKV25" s="166"/>
      <c r="BKW25" s="166"/>
      <c r="BKX25" s="166"/>
      <c r="BKY25" s="166"/>
      <c r="BKZ25" s="166"/>
      <c r="BLA25" s="166"/>
      <c r="BLB25" s="166"/>
      <c r="BLC25" s="166"/>
      <c r="BLD25" s="166"/>
      <c r="BLE25" s="166"/>
      <c r="BLF25" s="166"/>
      <c r="BLG25" s="166"/>
      <c r="BLH25" s="166"/>
      <c r="BLI25" s="166"/>
      <c r="BLJ25" s="166"/>
      <c r="BLK25" s="166"/>
      <c r="BLL25" s="166"/>
      <c r="BLM25" s="166"/>
      <c r="BLN25" s="166"/>
      <c r="BLO25" s="166"/>
      <c r="BLP25" s="166"/>
      <c r="BLQ25" s="166"/>
      <c r="BLR25" s="166"/>
      <c r="BLS25" s="166"/>
      <c r="BLT25" s="166"/>
      <c r="BLU25" s="166"/>
      <c r="BLV25" s="166"/>
      <c r="BLW25" s="166"/>
      <c r="BLX25" s="166"/>
      <c r="BLY25" s="166"/>
      <c r="BLZ25" s="166"/>
      <c r="BMA25" s="166"/>
      <c r="BMB25" s="166"/>
      <c r="BMC25" s="166"/>
      <c r="BMD25" s="166"/>
      <c r="BME25" s="166"/>
      <c r="BMF25" s="166"/>
      <c r="BMG25" s="166"/>
      <c r="BMH25" s="166"/>
      <c r="BMI25" s="166"/>
      <c r="BMJ25" s="166"/>
      <c r="BMK25" s="166"/>
      <c r="BML25" s="166"/>
      <c r="BMM25" s="166"/>
      <c r="BMN25" s="166"/>
      <c r="BMO25" s="166"/>
      <c r="BMP25" s="166"/>
      <c r="BMQ25" s="166"/>
      <c r="BMR25" s="166"/>
      <c r="BMS25" s="166"/>
      <c r="BMT25" s="166"/>
      <c r="BMU25" s="166"/>
      <c r="BMV25" s="166"/>
      <c r="BMW25" s="166"/>
      <c r="BMX25" s="166"/>
      <c r="BMY25" s="166"/>
      <c r="BMZ25" s="166"/>
      <c r="BNA25" s="166"/>
      <c r="BNB25" s="166"/>
      <c r="BNC25" s="166"/>
      <c r="BND25" s="166"/>
      <c r="BNE25" s="166"/>
      <c r="BNF25" s="166"/>
      <c r="BNG25" s="166"/>
      <c r="BNH25" s="166"/>
      <c r="BNI25" s="166"/>
      <c r="BNJ25" s="166"/>
      <c r="BNK25" s="166"/>
      <c r="BNL25" s="166"/>
      <c r="BNM25" s="166"/>
      <c r="BNN25" s="166"/>
      <c r="BNO25" s="166"/>
      <c r="BNP25" s="166"/>
      <c r="BNQ25" s="166"/>
      <c r="BNR25" s="166"/>
      <c r="BNS25" s="166"/>
      <c r="BNT25" s="166"/>
      <c r="BNU25" s="166"/>
      <c r="BNV25" s="166"/>
      <c r="BNW25" s="166"/>
      <c r="BNX25" s="166"/>
      <c r="BNY25" s="166"/>
      <c r="BNZ25" s="166"/>
      <c r="BOA25" s="166"/>
      <c r="BOB25" s="166"/>
      <c r="BOC25" s="166"/>
      <c r="BOD25" s="166"/>
      <c r="BOE25" s="166"/>
      <c r="BOF25" s="166"/>
      <c r="BOG25" s="166"/>
      <c r="BOH25" s="166"/>
      <c r="BOI25" s="166"/>
      <c r="BOJ25" s="166"/>
      <c r="BOK25" s="166"/>
      <c r="BOL25" s="166"/>
      <c r="BOM25" s="166"/>
      <c r="BON25" s="166"/>
      <c r="BOO25" s="166"/>
      <c r="BOP25" s="166"/>
      <c r="BOQ25" s="166"/>
      <c r="BOR25" s="166"/>
      <c r="BOS25" s="166"/>
      <c r="BOT25" s="166"/>
      <c r="BOU25" s="166"/>
      <c r="BOV25" s="166"/>
      <c r="BOW25" s="166"/>
      <c r="BOX25" s="166"/>
      <c r="BOY25" s="166"/>
      <c r="BOZ25" s="166"/>
      <c r="BPA25" s="166"/>
      <c r="BPB25" s="166"/>
      <c r="BPC25" s="166"/>
      <c r="BPD25" s="166"/>
      <c r="BPE25" s="166"/>
      <c r="BPF25" s="166"/>
      <c r="BPG25" s="166"/>
      <c r="BPH25" s="166"/>
      <c r="BPI25" s="166"/>
      <c r="BPJ25" s="166"/>
      <c r="BPK25" s="166"/>
      <c r="BPL25" s="166"/>
      <c r="BPM25" s="166"/>
      <c r="BPN25" s="166"/>
      <c r="BPO25" s="166"/>
      <c r="BPP25" s="166"/>
      <c r="BPQ25" s="166"/>
      <c r="BPR25" s="166"/>
      <c r="BPS25" s="166"/>
      <c r="BPT25" s="166"/>
      <c r="BPU25" s="166"/>
      <c r="BPV25" s="166"/>
      <c r="BPW25" s="166"/>
      <c r="BPX25" s="166"/>
      <c r="BPY25" s="166"/>
      <c r="BPZ25" s="166"/>
      <c r="BQA25" s="166"/>
      <c r="BQB25" s="166"/>
      <c r="BQC25" s="166"/>
      <c r="BQD25" s="166"/>
      <c r="BQE25" s="166"/>
      <c r="BQF25" s="166"/>
      <c r="BQG25" s="166"/>
      <c r="BQH25" s="166"/>
      <c r="BQI25" s="166"/>
      <c r="BQJ25" s="166"/>
      <c r="BQK25" s="166"/>
      <c r="BQL25" s="166"/>
      <c r="BQM25" s="166"/>
      <c r="BQN25" s="166"/>
      <c r="BQO25" s="166"/>
      <c r="BQP25" s="166"/>
      <c r="BQQ25" s="166"/>
      <c r="BQR25" s="166"/>
      <c r="BQS25" s="166"/>
      <c r="BQT25" s="166"/>
      <c r="BQU25" s="166"/>
      <c r="BQV25" s="166"/>
      <c r="BQW25" s="166"/>
      <c r="BQX25" s="166"/>
      <c r="BQY25" s="166"/>
      <c r="BQZ25" s="166"/>
      <c r="BRA25" s="166"/>
      <c r="BRB25" s="166"/>
      <c r="BRC25" s="166"/>
      <c r="BRD25" s="166"/>
      <c r="BRE25" s="166"/>
      <c r="BRF25" s="166"/>
      <c r="BRG25" s="166"/>
      <c r="BRH25" s="166"/>
      <c r="BRI25" s="166"/>
      <c r="BRJ25" s="166"/>
      <c r="BRK25" s="166"/>
      <c r="BRL25" s="166"/>
      <c r="BRM25" s="166"/>
      <c r="BRN25" s="166"/>
      <c r="BRO25" s="166"/>
      <c r="BRP25" s="166"/>
      <c r="BRQ25" s="166"/>
      <c r="BRR25" s="166"/>
      <c r="BRS25" s="166"/>
      <c r="BRT25" s="166"/>
      <c r="BRU25" s="166"/>
      <c r="BRV25" s="166"/>
      <c r="BRW25" s="166"/>
      <c r="BRX25" s="166"/>
      <c r="BRY25" s="166"/>
      <c r="BRZ25" s="166"/>
      <c r="BSA25" s="166"/>
      <c r="BSB25" s="166"/>
      <c r="BSC25" s="166"/>
      <c r="BSD25" s="166"/>
      <c r="BSE25" s="166"/>
      <c r="BSF25" s="166"/>
      <c r="BSG25" s="166"/>
      <c r="BSH25" s="166"/>
      <c r="BSI25" s="166"/>
      <c r="BSJ25" s="166"/>
      <c r="BSK25" s="166"/>
      <c r="BSL25" s="166"/>
      <c r="BSM25" s="166"/>
      <c r="BSN25" s="166"/>
      <c r="BSO25" s="166"/>
      <c r="BSP25" s="166"/>
      <c r="BSQ25" s="166"/>
      <c r="BSR25" s="166"/>
      <c r="BSS25" s="166"/>
    </row>
    <row r="26" spans="1:1865" ht="20.100000000000001" customHeight="1" x14ac:dyDescent="0.3">
      <c r="A26" s="100" t="s">
        <v>21</v>
      </c>
      <c r="B26" s="63" t="str">
        <f>IF(LEN(C37)=0,"",C37)</f>
        <v>Réalisation - Résumé avec le nombre d'événements</v>
      </c>
      <c r="C26" s="208"/>
      <c r="D26" s="148" t="str">
        <f t="shared" si="0"/>
        <v>0h50min</v>
      </c>
      <c r="E26" s="35">
        <v>10</v>
      </c>
      <c r="F26" s="241"/>
      <c r="G26" s="242"/>
      <c r="H26" s="242"/>
      <c r="I26" s="242"/>
      <c r="J26" s="243"/>
      <c r="K26" s="250"/>
      <c r="L26" s="243"/>
      <c r="M26" s="243"/>
      <c r="N26" s="243"/>
      <c r="O26" s="243"/>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165"/>
      <c r="BHG26" s="166"/>
      <c r="BHH26" s="166"/>
      <c r="BHI26" s="166"/>
      <c r="BHJ26" s="166"/>
      <c r="BHK26" s="166"/>
      <c r="BHL26" s="166"/>
      <c r="BHM26" s="166"/>
      <c r="BHN26" s="166"/>
      <c r="BHO26" s="166"/>
      <c r="BHP26" s="166"/>
      <c r="BHQ26" s="166"/>
      <c r="BHR26" s="166"/>
      <c r="BHS26" s="166"/>
      <c r="BHT26" s="166"/>
      <c r="BHU26" s="166"/>
      <c r="BHV26" s="166"/>
      <c r="BHW26" s="166"/>
      <c r="BHX26" s="166"/>
      <c r="BHY26" s="166"/>
      <c r="BHZ26" s="166"/>
      <c r="BIA26" s="166"/>
      <c r="BIB26" s="166"/>
      <c r="BIC26" s="166"/>
      <c r="BID26" s="166"/>
      <c r="BIE26" s="166"/>
      <c r="BIF26" s="166"/>
      <c r="BIG26" s="166"/>
      <c r="BIH26" s="166"/>
      <c r="BII26" s="166"/>
      <c r="BIJ26" s="166"/>
      <c r="BIK26" s="166"/>
      <c r="BIL26" s="166"/>
      <c r="BIM26" s="166"/>
      <c r="BIN26" s="166"/>
      <c r="BIO26" s="166"/>
      <c r="BIP26" s="166"/>
      <c r="BIQ26" s="166"/>
      <c r="BIR26" s="166"/>
      <c r="BIS26" s="166"/>
      <c r="BIT26" s="166"/>
      <c r="BIU26" s="166"/>
      <c r="BIV26" s="166"/>
      <c r="BIW26" s="166"/>
      <c r="BIX26" s="166"/>
      <c r="BIY26" s="166"/>
      <c r="BIZ26" s="166"/>
      <c r="BJA26" s="166"/>
      <c r="BJB26" s="166"/>
      <c r="BJC26" s="166"/>
      <c r="BJD26" s="166"/>
      <c r="BJE26" s="166"/>
      <c r="BJF26" s="166"/>
      <c r="BJG26" s="166"/>
      <c r="BJH26" s="166"/>
      <c r="BJI26" s="166"/>
      <c r="BJJ26" s="166"/>
      <c r="BJK26" s="166"/>
      <c r="BJL26" s="166"/>
      <c r="BJM26" s="166"/>
      <c r="BJN26" s="166"/>
      <c r="BJO26" s="166"/>
      <c r="BJP26" s="166"/>
      <c r="BJQ26" s="166"/>
      <c r="BJR26" s="166"/>
      <c r="BJS26" s="166"/>
      <c r="BJT26" s="166"/>
      <c r="BJU26" s="166"/>
      <c r="BJV26" s="166"/>
      <c r="BJW26" s="166"/>
      <c r="BJX26" s="166"/>
      <c r="BJY26" s="166"/>
      <c r="BJZ26" s="166"/>
      <c r="BKA26" s="166"/>
      <c r="BKB26" s="166"/>
      <c r="BKC26" s="166"/>
      <c r="BKD26" s="166"/>
      <c r="BKE26" s="166"/>
      <c r="BKF26" s="166"/>
      <c r="BKG26" s="166"/>
      <c r="BKH26" s="166"/>
      <c r="BKI26" s="166"/>
      <c r="BKJ26" s="166"/>
      <c r="BKK26" s="166"/>
      <c r="BKL26" s="166"/>
      <c r="BKM26" s="166"/>
      <c r="BKN26" s="166"/>
      <c r="BKO26" s="166"/>
      <c r="BKP26" s="166"/>
      <c r="BKQ26" s="166"/>
      <c r="BKR26" s="166"/>
      <c r="BKS26" s="166"/>
      <c r="BKT26" s="166"/>
      <c r="BKU26" s="166"/>
      <c r="BKV26" s="166"/>
      <c r="BKW26" s="166"/>
      <c r="BKX26" s="166"/>
      <c r="BKY26" s="166"/>
      <c r="BKZ26" s="166"/>
      <c r="BLA26" s="166"/>
      <c r="BLB26" s="166"/>
      <c r="BLC26" s="166"/>
      <c r="BLD26" s="166"/>
      <c r="BLE26" s="166"/>
      <c r="BLF26" s="166"/>
      <c r="BLG26" s="166"/>
      <c r="BLH26" s="166"/>
      <c r="BLI26" s="166"/>
      <c r="BLJ26" s="166"/>
      <c r="BLK26" s="166"/>
      <c r="BLL26" s="166"/>
      <c r="BLM26" s="166"/>
      <c r="BLN26" s="166"/>
      <c r="BLO26" s="166"/>
      <c r="BLP26" s="166"/>
      <c r="BLQ26" s="166"/>
      <c r="BLR26" s="166"/>
      <c r="BLS26" s="166"/>
      <c r="BLT26" s="166"/>
      <c r="BLU26" s="166"/>
      <c r="BLV26" s="166"/>
      <c r="BLW26" s="166"/>
      <c r="BLX26" s="166"/>
      <c r="BLY26" s="166"/>
      <c r="BLZ26" s="166"/>
      <c r="BMA26" s="166"/>
      <c r="BMB26" s="166"/>
      <c r="BMC26" s="166"/>
      <c r="BMD26" s="166"/>
      <c r="BME26" s="166"/>
      <c r="BMF26" s="166"/>
      <c r="BMG26" s="166"/>
      <c r="BMH26" s="166"/>
      <c r="BMI26" s="166"/>
      <c r="BMJ26" s="166"/>
      <c r="BMK26" s="166"/>
      <c r="BML26" s="166"/>
      <c r="BMM26" s="166"/>
      <c r="BMN26" s="166"/>
      <c r="BMO26" s="166"/>
      <c r="BMP26" s="166"/>
      <c r="BMQ26" s="166"/>
      <c r="BMR26" s="166"/>
      <c r="BMS26" s="166"/>
      <c r="BMT26" s="166"/>
      <c r="BMU26" s="166"/>
      <c r="BMV26" s="166"/>
      <c r="BMW26" s="166"/>
      <c r="BMX26" s="166"/>
      <c r="BMY26" s="166"/>
      <c r="BMZ26" s="166"/>
      <c r="BNA26" s="166"/>
      <c r="BNB26" s="166"/>
      <c r="BNC26" s="166"/>
      <c r="BND26" s="166"/>
      <c r="BNE26" s="166"/>
      <c r="BNF26" s="166"/>
      <c r="BNG26" s="166"/>
      <c r="BNH26" s="166"/>
      <c r="BNI26" s="166"/>
      <c r="BNJ26" s="166"/>
      <c r="BNK26" s="166"/>
      <c r="BNL26" s="166"/>
      <c r="BNM26" s="166"/>
      <c r="BNN26" s="166"/>
      <c r="BNO26" s="166"/>
      <c r="BNP26" s="166"/>
      <c r="BNQ26" s="166"/>
      <c r="BNR26" s="166"/>
      <c r="BNS26" s="166"/>
      <c r="BNT26" s="166"/>
      <c r="BNU26" s="166"/>
      <c r="BNV26" s="166"/>
      <c r="BNW26" s="166"/>
      <c r="BNX26" s="166"/>
      <c r="BNY26" s="166"/>
      <c r="BNZ26" s="166"/>
      <c r="BOA26" s="166"/>
      <c r="BOB26" s="166"/>
      <c r="BOC26" s="166"/>
      <c r="BOD26" s="166"/>
      <c r="BOE26" s="166"/>
      <c r="BOF26" s="166"/>
      <c r="BOG26" s="166"/>
      <c r="BOH26" s="166"/>
      <c r="BOI26" s="166"/>
      <c r="BOJ26" s="166"/>
      <c r="BOK26" s="166"/>
      <c r="BOL26" s="166"/>
      <c r="BOM26" s="166"/>
      <c r="BON26" s="166"/>
      <c r="BOO26" s="166"/>
      <c r="BOP26" s="166"/>
      <c r="BOQ26" s="166"/>
      <c r="BOR26" s="166"/>
      <c r="BOS26" s="166"/>
      <c r="BOT26" s="166"/>
      <c r="BOU26" s="166"/>
      <c r="BOV26" s="166"/>
      <c r="BOW26" s="166"/>
      <c r="BOX26" s="166"/>
      <c r="BOY26" s="166"/>
      <c r="BOZ26" s="166"/>
      <c r="BPA26" s="166"/>
      <c r="BPB26" s="166"/>
      <c r="BPC26" s="166"/>
      <c r="BPD26" s="166"/>
      <c r="BPE26" s="166"/>
      <c r="BPF26" s="166"/>
      <c r="BPG26" s="166"/>
      <c r="BPH26" s="166"/>
      <c r="BPI26" s="166"/>
      <c r="BPJ26" s="166"/>
      <c r="BPK26" s="166"/>
      <c r="BPL26" s="166"/>
      <c r="BPM26" s="166"/>
      <c r="BPN26" s="166"/>
      <c r="BPO26" s="166"/>
      <c r="BPP26" s="166"/>
      <c r="BPQ26" s="166"/>
      <c r="BPR26" s="166"/>
      <c r="BPS26" s="166"/>
      <c r="BPT26" s="166"/>
      <c r="BPU26" s="166"/>
      <c r="BPV26" s="166"/>
      <c r="BPW26" s="166"/>
      <c r="BPX26" s="166"/>
      <c r="BPY26" s="166"/>
      <c r="BPZ26" s="166"/>
      <c r="BQA26" s="166"/>
      <c r="BQB26" s="166"/>
      <c r="BQC26" s="166"/>
      <c r="BQD26" s="166"/>
      <c r="BQE26" s="166"/>
      <c r="BQF26" s="166"/>
      <c r="BQG26" s="166"/>
      <c r="BQH26" s="166"/>
      <c r="BQI26" s="166"/>
      <c r="BQJ26" s="166"/>
      <c r="BQK26" s="166"/>
      <c r="BQL26" s="166"/>
      <c r="BQM26" s="166"/>
      <c r="BQN26" s="166"/>
      <c r="BQO26" s="166"/>
      <c r="BQP26" s="166"/>
      <c r="BQQ26" s="166"/>
      <c r="BQR26" s="166"/>
      <c r="BQS26" s="166"/>
      <c r="BQT26" s="166"/>
      <c r="BQU26" s="166"/>
      <c r="BQV26" s="166"/>
      <c r="BQW26" s="166"/>
      <c r="BQX26" s="166"/>
      <c r="BQY26" s="166"/>
      <c r="BQZ26" s="166"/>
      <c r="BRA26" s="166"/>
      <c r="BRB26" s="166"/>
      <c r="BRC26" s="166"/>
      <c r="BRD26" s="166"/>
      <c r="BRE26" s="166"/>
      <c r="BRF26" s="166"/>
      <c r="BRG26" s="166"/>
      <c r="BRH26" s="166"/>
      <c r="BRI26" s="166"/>
      <c r="BRJ26" s="166"/>
      <c r="BRK26" s="166"/>
      <c r="BRL26" s="166"/>
      <c r="BRM26" s="166"/>
      <c r="BRN26" s="166"/>
      <c r="BRO26" s="166"/>
      <c r="BRP26" s="166"/>
      <c r="BRQ26" s="166"/>
      <c r="BRR26" s="166"/>
      <c r="BRS26" s="166"/>
      <c r="BRT26" s="166"/>
      <c r="BRU26" s="166"/>
      <c r="BRV26" s="166"/>
      <c r="BRW26" s="166"/>
      <c r="BRX26" s="166"/>
      <c r="BRY26" s="166"/>
      <c r="BRZ26" s="166"/>
      <c r="BSA26" s="166"/>
      <c r="BSB26" s="166"/>
      <c r="BSC26" s="166"/>
      <c r="BSD26" s="166"/>
      <c r="BSE26" s="166"/>
      <c r="BSF26" s="166"/>
      <c r="BSG26" s="166"/>
      <c r="BSH26" s="166"/>
      <c r="BSI26" s="166"/>
      <c r="BSJ26" s="166"/>
      <c r="BSK26" s="166"/>
      <c r="BSL26" s="166"/>
      <c r="BSM26" s="166"/>
      <c r="BSN26" s="166"/>
      <c r="BSO26" s="166"/>
      <c r="BSP26" s="166"/>
      <c r="BSQ26" s="166"/>
      <c r="BSR26" s="166"/>
      <c r="BSS26" s="166"/>
    </row>
    <row r="27" spans="1:1865" ht="20.100000000000001" customHeight="1" x14ac:dyDescent="0.25">
      <c r="A27" s="100" t="s">
        <v>20</v>
      </c>
      <c r="B27" s="63" t="str">
        <f>IF(LEN(C39)=0,"",C39)</f>
        <v>Réalisation - Création d'un maximum de 10 fichiers source</v>
      </c>
      <c r="C27" s="207" t="s">
        <v>90</v>
      </c>
      <c r="D27" s="146" t="str">
        <f t="shared" si="0"/>
        <v>0h</v>
      </c>
      <c r="E27" s="39">
        <v>0</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165"/>
      <c r="BHG27" s="166"/>
      <c r="BHH27" s="166"/>
      <c r="BHI27" s="166"/>
      <c r="BHJ27" s="166"/>
      <c r="BHK27" s="166"/>
      <c r="BHL27" s="166"/>
      <c r="BHM27" s="166"/>
      <c r="BHN27" s="166"/>
      <c r="BHO27" s="166"/>
      <c r="BHP27" s="166"/>
      <c r="BHQ27" s="166"/>
      <c r="BHR27" s="166"/>
      <c r="BHS27" s="166"/>
      <c r="BHT27" s="166"/>
      <c r="BHU27" s="166"/>
      <c r="BHV27" s="166"/>
      <c r="BHW27" s="166"/>
      <c r="BHX27" s="166"/>
      <c r="BHY27" s="166"/>
      <c r="BHZ27" s="166"/>
      <c r="BIA27" s="166"/>
      <c r="BIB27" s="166"/>
      <c r="BIC27" s="166"/>
      <c r="BID27" s="166"/>
      <c r="BIE27" s="166"/>
      <c r="BIF27" s="166"/>
      <c r="BIG27" s="166"/>
      <c r="BIH27" s="166"/>
      <c r="BII27" s="166"/>
      <c r="BIJ27" s="166"/>
      <c r="BIK27" s="166"/>
      <c r="BIL27" s="166"/>
      <c r="BIM27" s="166"/>
      <c r="BIN27" s="166"/>
      <c r="BIO27" s="166"/>
      <c r="BIP27" s="166"/>
      <c r="BIQ27" s="166"/>
      <c r="BIR27" s="166"/>
      <c r="BIS27" s="166"/>
      <c r="BIT27" s="166"/>
      <c r="BIU27" s="166"/>
      <c r="BIV27" s="166"/>
      <c r="BIW27" s="166"/>
      <c r="BIX27" s="166"/>
      <c r="BIY27" s="166"/>
      <c r="BIZ27" s="166"/>
      <c r="BJA27" s="166"/>
      <c r="BJB27" s="166"/>
      <c r="BJC27" s="166"/>
      <c r="BJD27" s="166"/>
      <c r="BJE27" s="166"/>
      <c r="BJF27" s="166"/>
      <c r="BJG27" s="166"/>
      <c r="BJH27" s="166"/>
      <c r="BJI27" s="166"/>
      <c r="BJJ27" s="166"/>
      <c r="BJK27" s="166"/>
      <c r="BJL27" s="166"/>
      <c r="BJM27" s="166"/>
      <c r="BJN27" s="166"/>
      <c r="BJO27" s="166"/>
      <c r="BJP27" s="166"/>
      <c r="BJQ27" s="166"/>
      <c r="BJR27" s="166"/>
      <c r="BJS27" s="166"/>
      <c r="BJT27" s="166"/>
      <c r="BJU27" s="166"/>
      <c r="BJV27" s="166"/>
      <c r="BJW27" s="166"/>
      <c r="BJX27" s="166"/>
      <c r="BJY27" s="166"/>
      <c r="BJZ27" s="166"/>
      <c r="BKA27" s="166"/>
      <c r="BKB27" s="166"/>
      <c r="BKC27" s="166"/>
      <c r="BKD27" s="166"/>
      <c r="BKE27" s="166"/>
      <c r="BKF27" s="166"/>
      <c r="BKG27" s="166"/>
      <c r="BKH27" s="166"/>
      <c r="BKI27" s="166"/>
      <c r="BKJ27" s="166"/>
      <c r="BKK27" s="166"/>
      <c r="BKL27" s="166"/>
      <c r="BKM27" s="166"/>
      <c r="BKN27" s="166"/>
      <c r="BKO27" s="166"/>
      <c r="BKP27" s="166"/>
      <c r="BKQ27" s="166"/>
      <c r="BKR27" s="166"/>
      <c r="BKS27" s="166"/>
      <c r="BKT27" s="166"/>
      <c r="BKU27" s="166"/>
      <c r="BKV27" s="166"/>
      <c r="BKW27" s="166"/>
      <c r="BKX27" s="166"/>
      <c r="BKY27" s="166"/>
      <c r="BKZ27" s="166"/>
      <c r="BLA27" s="166"/>
      <c r="BLB27" s="166"/>
      <c r="BLC27" s="166"/>
      <c r="BLD27" s="166"/>
      <c r="BLE27" s="166"/>
      <c r="BLF27" s="166"/>
      <c r="BLG27" s="166"/>
      <c r="BLH27" s="166"/>
      <c r="BLI27" s="166"/>
      <c r="BLJ27" s="166"/>
      <c r="BLK27" s="166"/>
      <c r="BLL27" s="166"/>
      <c r="BLM27" s="166"/>
      <c r="BLN27" s="166"/>
      <c r="BLO27" s="166"/>
      <c r="BLP27" s="166"/>
      <c r="BLQ27" s="166"/>
      <c r="BLR27" s="166"/>
      <c r="BLS27" s="166"/>
      <c r="BLT27" s="166"/>
      <c r="BLU27" s="166"/>
      <c r="BLV27" s="166"/>
      <c r="BLW27" s="166"/>
      <c r="BLX27" s="166"/>
      <c r="BLY27" s="166"/>
      <c r="BLZ27" s="166"/>
      <c r="BMA27" s="166"/>
      <c r="BMB27" s="166"/>
      <c r="BMC27" s="166"/>
      <c r="BMD27" s="166"/>
      <c r="BME27" s="166"/>
      <c r="BMF27" s="166"/>
      <c r="BMG27" s="166"/>
      <c r="BMH27" s="166"/>
      <c r="BMI27" s="166"/>
      <c r="BMJ27" s="166"/>
      <c r="BMK27" s="166"/>
      <c r="BML27" s="166"/>
      <c r="BMM27" s="166"/>
      <c r="BMN27" s="166"/>
      <c r="BMO27" s="166"/>
      <c r="BMP27" s="166"/>
      <c r="BMQ27" s="166"/>
      <c r="BMR27" s="166"/>
      <c r="BMS27" s="166"/>
      <c r="BMT27" s="166"/>
      <c r="BMU27" s="166"/>
      <c r="BMV27" s="166"/>
      <c r="BMW27" s="166"/>
      <c r="BMX27" s="166"/>
      <c r="BMY27" s="166"/>
      <c r="BMZ27" s="166"/>
      <c r="BNA27" s="166"/>
      <c r="BNB27" s="166"/>
      <c r="BNC27" s="166"/>
      <c r="BND27" s="166"/>
      <c r="BNE27" s="166"/>
      <c r="BNF27" s="166"/>
      <c r="BNG27" s="166"/>
      <c r="BNH27" s="166"/>
      <c r="BNI27" s="166"/>
      <c r="BNJ27" s="166"/>
      <c r="BNK27" s="166"/>
      <c r="BNL27" s="166"/>
      <c r="BNM27" s="166"/>
      <c r="BNN27" s="166"/>
      <c r="BNO27" s="166"/>
      <c r="BNP27" s="166"/>
      <c r="BNQ27" s="166"/>
      <c r="BNR27" s="166"/>
      <c r="BNS27" s="166"/>
      <c r="BNT27" s="166"/>
      <c r="BNU27" s="166"/>
      <c r="BNV27" s="166"/>
      <c r="BNW27" s="166"/>
      <c r="BNX27" s="166"/>
      <c r="BNY27" s="166"/>
      <c r="BNZ27" s="166"/>
      <c r="BOA27" s="166"/>
      <c r="BOB27" s="166"/>
      <c r="BOC27" s="166"/>
      <c r="BOD27" s="166"/>
      <c r="BOE27" s="166"/>
      <c r="BOF27" s="166"/>
      <c r="BOG27" s="166"/>
      <c r="BOH27" s="166"/>
      <c r="BOI27" s="166"/>
      <c r="BOJ27" s="166"/>
      <c r="BOK27" s="166"/>
      <c r="BOL27" s="166"/>
      <c r="BOM27" s="166"/>
      <c r="BON27" s="166"/>
      <c r="BOO27" s="166"/>
      <c r="BOP27" s="166"/>
      <c r="BOQ27" s="166"/>
      <c r="BOR27" s="166"/>
      <c r="BOS27" s="166"/>
      <c r="BOT27" s="166"/>
      <c r="BOU27" s="166"/>
      <c r="BOV27" s="166"/>
      <c r="BOW27" s="166"/>
      <c r="BOX27" s="166"/>
      <c r="BOY27" s="166"/>
      <c r="BOZ27" s="166"/>
      <c r="BPA27" s="166"/>
      <c r="BPB27" s="166"/>
      <c r="BPC27" s="166"/>
      <c r="BPD27" s="166"/>
      <c r="BPE27" s="166"/>
      <c r="BPF27" s="166"/>
      <c r="BPG27" s="166"/>
      <c r="BPH27" s="166"/>
      <c r="BPI27" s="166"/>
      <c r="BPJ27" s="166"/>
      <c r="BPK27" s="166"/>
      <c r="BPL27" s="166"/>
      <c r="BPM27" s="166"/>
      <c r="BPN27" s="166"/>
      <c r="BPO27" s="166"/>
      <c r="BPP27" s="166"/>
      <c r="BPQ27" s="166"/>
      <c r="BPR27" s="166"/>
      <c r="BPS27" s="166"/>
      <c r="BPT27" s="166"/>
      <c r="BPU27" s="166"/>
      <c r="BPV27" s="166"/>
      <c r="BPW27" s="166"/>
      <c r="BPX27" s="166"/>
      <c r="BPY27" s="166"/>
      <c r="BPZ27" s="166"/>
      <c r="BQA27" s="166"/>
      <c r="BQB27" s="166"/>
      <c r="BQC27" s="166"/>
      <c r="BQD27" s="166"/>
      <c r="BQE27" s="166"/>
      <c r="BQF27" s="166"/>
      <c r="BQG27" s="166"/>
      <c r="BQH27" s="166"/>
      <c r="BQI27" s="166"/>
      <c r="BQJ27" s="166"/>
      <c r="BQK27" s="166"/>
      <c r="BQL27" s="166"/>
      <c r="BQM27" s="166"/>
      <c r="BQN27" s="166"/>
      <c r="BQO27" s="166"/>
      <c r="BQP27" s="166"/>
      <c r="BQQ27" s="166"/>
      <c r="BQR27" s="166"/>
      <c r="BQS27" s="166"/>
      <c r="BQT27" s="166"/>
      <c r="BQU27" s="166"/>
      <c r="BQV27" s="166"/>
      <c r="BQW27" s="166"/>
      <c r="BQX27" s="166"/>
      <c r="BQY27" s="166"/>
      <c r="BQZ27" s="166"/>
      <c r="BRA27" s="166"/>
      <c r="BRB27" s="166"/>
      <c r="BRC27" s="166"/>
      <c r="BRD27" s="166"/>
      <c r="BRE27" s="166"/>
      <c r="BRF27" s="166"/>
      <c r="BRG27" s="166"/>
      <c r="BRH27" s="166"/>
      <c r="BRI27" s="166"/>
      <c r="BRJ27" s="166"/>
      <c r="BRK27" s="166"/>
      <c r="BRL27" s="166"/>
      <c r="BRM27" s="166"/>
      <c r="BRN27" s="166"/>
      <c r="BRO27" s="166"/>
      <c r="BRP27" s="166"/>
      <c r="BRQ27" s="166"/>
      <c r="BRR27" s="166"/>
      <c r="BRS27" s="166"/>
      <c r="BRT27" s="166"/>
      <c r="BRU27" s="166"/>
      <c r="BRV27" s="166"/>
      <c r="BRW27" s="166"/>
      <c r="BRX27" s="166"/>
      <c r="BRY27" s="166"/>
      <c r="BRZ27" s="166"/>
      <c r="BSA27" s="166"/>
      <c r="BSB27" s="166"/>
      <c r="BSC27" s="166"/>
      <c r="BSD27" s="166"/>
      <c r="BSE27" s="166"/>
      <c r="BSF27" s="166"/>
      <c r="BSG27" s="166"/>
      <c r="BSH27" s="166"/>
      <c r="BSI27" s="166"/>
      <c r="BSJ27" s="166"/>
      <c r="BSK27" s="166"/>
      <c r="BSL27" s="166"/>
      <c r="BSM27" s="166"/>
      <c r="BSN27" s="166"/>
      <c r="BSO27" s="166"/>
      <c r="BSP27" s="166"/>
      <c r="BSQ27" s="166"/>
      <c r="BSR27" s="166"/>
      <c r="BSS27" s="166"/>
    </row>
    <row r="28" spans="1:1865" ht="20.100000000000001" customHeight="1" x14ac:dyDescent="0.3">
      <c r="A28" s="100" t="s">
        <v>21</v>
      </c>
      <c r="B28" s="63" t="str">
        <f>IF(LEN(C41)=0,"",C41)</f>
        <v>Réalisation - Fusion, Popup de choix de la destination</v>
      </c>
      <c r="C28" s="208"/>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165"/>
      <c r="BHG28" s="166"/>
      <c r="BHH28" s="166"/>
      <c r="BHI28" s="166"/>
      <c r="BHJ28" s="166"/>
      <c r="BHK28" s="166"/>
      <c r="BHL28" s="166"/>
      <c r="BHM28" s="166"/>
      <c r="BHN28" s="166"/>
      <c r="BHO28" s="166"/>
      <c r="BHP28" s="166"/>
      <c r="BHQ28" s="166"/>
      <c r="BHR28" s="166"/>
      <c r="BHS28" s="166"/>
      <c r="BHT28" s="166"/>
      <c r="BHU28" s="166"/>
      <c r="BHV28" s="166"/>
      <c r="BHW28" s="166"/>
      <c r="BHX28" s="166"/>
      <c r="BHY28" s="166"/>
      <c r="BHZ28" s="166"/>
      <c r="BIA28" s="166"/>
      <c r="BIB28" s="166"/>
      <c r="BIC28" s="166"/>
      <c r="BID28" s="166"/>
      <c r="BIE28" s="166"/>
      <c r="BIF28" s="166"/>
      <c r="BIG28" s="166"/>
      <c r="BIH28" s="166"/>
      <c r="BII28" s="166"/>
      <c r="BIJ28" s="166"/>
      <c r="BIK28" s="166"/>
      <c r="BIL28" s="166"/>
      <c r="BIM28" s="166"/>
      <c r="BIN28" s="166"/>
      <c r="BIO28" s="166"/>
      <c r="BIP28" s="166"/>
      <c r="BIQ28" s="166"/>
      <c r="BIR28" s="166"/>
      <c r="BIS28" s="166"/>
      <c r="BIT28" s="166"/>
      <c r="BIU28" s="166"/>
      <c r="BIV28" s="166"/>
      <c r="BIW28" s="166"/>
      <c r="BIX28" s="166"/>
      <c r="BIY28" s="166"/>
      <c r="BIZ28" s="166"/>
      <c r="BJA28" s="166"/>
      <c r="BJB28" s="166"/>
      <c r="BJC28" s="166"/>
      <c r="BJD28" s="166"/>
      <c r="BJE28" s="166"/>
      <c r="BJF28" s="166"/>
      <c r="BJG28" s="166"/>
      <c r="BJH28" s="166"/>
      <c r="BJI28" s="166"/>
      <c r="BJJ28" s="166"/>
      <c r="BJK28" s="166"/>
      <c r="BJL28" s="166"/>
      <c r="BJM28" s="166"/>
      <c r="BJN28" s="166"/>
      <c r="BJO28" s="166"/>
      <c r="BJP28" s="166"/>
      <c r="BJQ28" s="166"/>
      <c r="BJR28" s="166"/>
      <c r="BJS28" s="166"/>
      <c r="BJT28" s="166"/>
      <c r="BJU28" s="166"/>
      <c r="BJV28" s="166"/>
      <c r="BJW28" s="166"/>
      <c r="BJX28" s="166"/>
      <c r="BJY28" s="166"/>
      <c r="BJZ28" s="166"/>
      <c r="BKA28" s="166"/>
      <c r="BKB28" s="166"/>
      <c r="BKC28" s="166"/>
      <c r="BKD28" s="166"/>
      <c r="BKE28" s="166"/>
      <c r="BKF28" s="166"/>
      <c r="BKG28" s="166"/>
      <c r="BKH28" s="166"/>
      <c r="BKI28" s="166"/>
      <c r="BKJ28" s="166"/>
      <c r="BKK28" s="166"/>
      <c r="BKL28" s="166"/>
      <c r="BKM28" s="166"/>
      <c r="BKN28" s="166"/>
      <c r="BKO28" s="166"/>
      <c r="BKP28" s="166"/>
      <c r="BKQ28" s="166"/>
      <c r="BKR28" s="166"/>
      <c r="BKS28" s="166"/>
      <c r="BKT28" s="166"/>
      <c r="BKU28" s="166"/>
      <c r="BKV28" s="166"/>
      <c r="BKW28" s="166"/>
      <c r="BKX28" s="166"/>
      <c r="BKY28" s="166"/>
      <c r="BKZ28" s="166"/>
      <c r="BLA28" s="166"/>
      <c r="BLB28" s="166"/>
      <c r="BLC28" s="166"/>
      <c r="BLD28" s="166"/>
      <c r="BLE28" s="166"/>
      <c r="BLF28" s="166"/>
      <c r="BLG28" s="166"/>
      <c r="BLH28" s="166"/>
      <c r="BLI28" s="166"/>
      <c r="BLJ28" s="166"/>
      <c r="BLK28" s="166"/>
      <c r="BLL28" s="166"/>
      <c r="BLM28" s="166"/>
      <c r="BLN28" s="166"/>
      <c r="BLO28" s="166"/>
      <c r="BLP28" s="166"/>
      <c r="BLQ28" s="166"/>
      <c r="BLR28" s="166"/>
      <c r="BLS28" s="166"/>
      <c r="BLT28" s="166"/>
      <c r="BLU28" s="166"/>
      <c r="BLV28" s="166"/>
      <c r="BLW28" s="166"/>
      <c r="BLX28" s="166"/>
      <c r="BLY28" s="166"/>
      <c r="BLZ28" s="166"/>
      <c r="BMA28" s="166"/>
      <c r="BMB28" s="166"/>
      <c r="BMC28" s="166"/>
      <c r="BMD28" s="166"/>
      <c r="BME28" s="166"/>
      <c r="BMF28" s="166"/>
      <c r="BMG28" s="166"/>
      <c r="BMH28" s="166"/>
      <c r="BMI28" s="166"/>
      <c r="BMJ28" s="166"/>
      <c r="BMK28" s="166"/>
      <c r="BML28" s="166"/>
      <c r="BMM28" s="166"/>
      <c r="BMN28" s="166"/>
      <c r="BMO28" s="166"/>
      <c r="BMP28" s="166"/>
      <c r="BMQ28" s="166"/>
      <c r="BMR28" s="166"/>
      <c r="BMS28" s="166"/>
      <c r="BMT28" s="166"/>
      <c r="BMU28" s="166"/>
      <c r="BMV28" s="166"/>
      <c r="BMW28" s="166"/>
      <c r="BMX28" s="166"/>
      <c r="BMY28" s="166"/>
      <c r="BMZ28" s="166"/>
      <c r="BNA28" s="166"/>
      <c r="BNB28" s="166"/>
      <c r="BNC28" s="166"/>
      <c r="BND28" s="166"/>
      <c r="BNE28" s="166"/>
      <c r="BNF28" s="166"/>
      <c r="BNG28" s="166"/>
      <c r="BNH28" s="166"/>
      <c r="BNI28" s="166"/>
      <c r="BNJ28" s="166"/>
      <c r="BNK28" s="166"/>
      <c r="BNL28" s="166"/>
      <c r="BNM28" s="166"/>
      <c r="BNN28" s="166"/>
      <c r="BNO28" s="166"/>
      <c r="BNP28" s="166"/>
      <c r="BNQ28" s="166"/>
      <c r="BNR28" s="166"/>
      <c r="BNS28" s="166"/>
      <c r="BNT28" s="166"/>
      <c r="BNU28" s="166"/>
      <c r="BNV28" s="166"/>
      <c r="BNW28" s="166"/>
      <c r="BNX28" s="166"/>
      <c r="BNY28" s="166"/>
      <c r="BNZ28" s="166"/>
      <c r="BOA28" s="166"/>
      <c r="BOB28" s="166"/>
      <c r="BOC28" s="166"/>
      <c r="BOD28" s="166"/>
      <c r="BOE28" s="166"/>
      <c r="BOF28" s="166"/>
      <c r="BOG28" s="166"/>
      <c r="BOH28" s="166"/>
      <c r="BOI28" s="166"/>
      <c r="BOJ28" s="166"/>
      <c r="BOK28" s="166"/>
      <c r="BOL28" s="166"/>
      <c r="BOM28" s="166"/>
      <c r="BON28" s="166"/>
      <c r="BOO28" s="166"/>
      <c r="BOP28" s="166"/>
      <c r="BOQ28" s="166"/>
      <c r="BOR28" s="166"/>
      <c r="BOS28" s="166"/>
      <c r="BOT28" s="166"/>
      <c r="BOU28" s="166"/>
      <c r="BOV28" s="166"/>
      <c r="BOW28" s="166"/>
      <c r="BOX28" s="166"/>
      <c r="BOY28" s="166"/>
      <c r="BOZ28" s="166"/>
      <c r="BPA28" s="166"/>
      <c r="BPB28" s="166"/>
      <c r="BPC28" s="166"/>
      <c r="BPD28" s="166"/>
      <c r="BPE28" s="166"/>
      <c r="BPF28" s="166"/>
      <c r="BPG28" s="166"/>
      <c r="BPH28" s="166"/>
      <c r="BPI28" s="166"/>
      <c r="BPJ28" s="166"/>
      <c r="BPK28" s="166"/>
      <c r="BPL28" s="166"/>
      <c r="BPM28" s="166"/>
      <c r="BPN28" s="166"/>
      <c r="BPO28" s="166"/>
      <c r="BPP28" s="166"/>
      <c r="BPQ28" s="166"/>
      <c r="BPR28" s="166"/>
      <c r="BPS28" s="166"/>
      <c r="BPT28" s="166"/>
      <c r="BPU28" s="166"/>
      <c r="BPV28" s="166"/>
      <c r="BPW28" s="166"/>
      <c r="BPX28" s="166"/>
      <c r="BPY28" s="166"/>
      <c r="BPZ28" s="166"/>
      <c r="BQA28" s="166"/>
      <c r="BQB28" s="166"/>
      <c r="BQC28" s="166"/>
      <c r="BQD28" s="166"/>
      <c r="BQE28" s="166"/>
      <c r="BQF28" s="166"/>
      <c r="BQG28" s="166"/>
      <c r="BQH28" s="166"/>
      <c r="BQI28" s="166"/>
      <c r="BQJ28" s="166"/>
      <c r="BQK28" s="166"/>
      <c r="BQL28" s="166"/>
      <c r="BQM28" s="166"/>
      <c r="BQN28" s="166"/>
      <c r="BQO28" s="166"/>
      <c r="BQP28" s="166"/>
      <c r="BQQ28" s="166"/>
      <c r="BQR28" s="166"/>
      <c r="BQS28" s="166"/>
      <c r="BQT28" s="166"/>
      <c r="BQU28" s="166"/>
      <c r="BQV28" s="166"/>
      <c r="BQW28" s="166"/>
      <c r="BQX28" s="166"/>
      <c r="BQY28" s="166"/>
      <c r="BQZ28" s="166"/>
      <c r="BRA28" s="166"/>
      <c r="BRB28" s="166"/>
      <c r="BRC28" s="166"/>
      <c r="BRD28" s="166"/>
      <c r="BRE28" s="166"/>
      <c r="BRF28" s="166"/>
      <c r="BRG28" s="166"/>
      <c r="BRH28" s="166"/>
      <c r="BRI28" s="166"/>
      <c r="BRJ28" s="166"/>
      <c r="BRK28" s="166"/>
      <c r="BRL28" s="166"/>
      <c r="BRM28" s="166"/>
      <c r="BRN28" s="166"/>
      <c r="BRO28" s="166"/>
      <c r="BRP28" s="166"/>
      <c r="BRQ28" s="166"/>
      <c r="BRR28" s="166"/>
      <c r="BRS28" s="166"/>
      <c r="BRT28" s="166"/>
      <c r="BRU28" s="166"/>
      <c r="BRV28" s="166"/>
      <c r="BRW28" s="166"/>
      <c r="BRX28" s="166"/>
      <c r="BRY28" s="166"/>
      <c r="BRZ28" s="166"/>
      <c r="BSA28" s="166"/>
      <c r="BSB28" s="166"/>
      <c r="BSC28" s="166"/>
      <c r="BSD28" s="166"/>
      <c r="BSE28" s="166"/>
      <c r="BSF28" s="166"/>
      <c r="BSG28" s="166"/>
      <c r="BSH28" s="166"/>
      <c r="BSI28" s="166"/>
      <c r="BSJ28" s="166"/>
      <c r="BSK28" s="166"/>
      <c r="BSL28" s="166"/>
      <c r="BSM28" s="166"/>
      <c r="BSN28" s="166"/>
      <c r="BSO28" s="166"/>
      <c r="BSP28" s="166"/>
      <c r="BSQ28" s="166"/>
      <c r="BSR28" s="166"/>
      <c r="BSS28" s="166"/>
    </row>
    <row r="29" spans="1:1865" ht="20.100000000000001" customHeight="1" x14ac:dyDescent="0.25">
      <c r="A29" s="100" t="s">
        <v>20</v>
      </c>
      <c r="B29" s="63" t="str">
        <f>IF(LEN(C43)=0,"",C43)</f>
        <v>Réalisation - Fusion, Barre de progression.</v>
      </c>
      <c r="C29" s="207" t="s">
        <v>91</v>
      </c>
      <c r="D29" s="146" t="str">
        <f t="shared" si="0"/>
        <v>1h</v>
      </c>
      <c r="E29" s="31">
        <v>12</v>
      </c>
      <c r="F29" s="32"/>
      <c r="G29" s="64"/>
      <c r="H29" s="64"/>
      <c r="I29" s="64"/>
      <c r="J29" s="33"/>
      <c r="K29" s="132"/>
      <c r="L29" s="33"/>
      <c r="M29" s="33"/>
      <c r="N29" s="33"/>
      <c r="O29" s="33"/>
      <c r="P29" s="33"/>
      <c r="Q29" s="137"/>
      <c r="R29" s="33"/>
      <c r="S29" s="33"/>
      <c r="T29" s="33"/>
      <c r="U29" s="33"/>
      <c r="V29" s="33"/>
      <c r="W29" s="74"/>
      <c r="X29" s="33"/>
      <c r="Y29" s="33"/>
      <c r="Z29" s="169"/>
      <c r="AA29" s="169"/>
      <c r="AB29" s="169"/>
      <c r="AC29" s="171"/>
      <c r="AD29" s="169"/>
      <c r="AE29" s="169"/>
      <c r="AF29" s="169"/>
      <c r="AG29" s="169"/>
      <c r="AH29" s="169"/>
      <c r="AI29" s="181"/>
      <c r="AJ29" s="168"/>
      <c r="AK29" s="168"/>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165"/>
      <c r="BHG29" s="166"/>
      <c r="BHH29" s="166"/>
      <c r="BHI29" s="166"/>
      <c r="BHJ29" s="166"/>
      <c r="BHK29" s="166"/>
      <c r="BHL29" s="166"/>
      <c r="BHM29" s="166"/>
      <c r="BHN29" s="166"/>
      <c r="BHO29" s="166"/>
      <c r="BHP29" s="166"/>
      <c r="BHQ29" s="166"/>
      <c r="BHR29" s="166"/>
      <c r="BHS29" s="166"/>
      <c r="BHT29" s="166"/>
      <c r="BHU29" s="166"/>
      <c r="BHV29" s="166"/>
      <c r="BHW29" s="166"/>
      <c r="BHX29" s="166"/>
      <c r="BHY29" s="166"/>
      <c r="BHZ29" s="166"/>
      <c r="BIA29" s="166"/>
      <c r="BIB29" s="166"/>
      <c r="BIC29" s="166"/>
      <c r="BID29" s="166"/>
      <c r="BIE29" s="166"/>
      <c r="BIF29" s="166"/>
      <c r="BIG29" s="166"/>
      <c r="BIH29" s="166"/>
      <c r="BII29" s="166"/>
      <c r="BIJ29" s="166"/>
      <c r="BIK29" s="166"/>
      <c r="BIL29" s="166"/>
      <c r="BIM29" s="166"/>
      <c r="BIN29" s="166"/>
      <c r="BIO29" s="166"/>
      <c r="BIP29" s="166"/>
      <c r="BIQ29" s="166"/>
      <c r="BIR29" s="166"/>
      <c r="BIS29" s="166"/>
      <c r="BIT29" s="166"/>
      <c r="BIU29" s="166"/>
      <c r="BIV29" s="166"/>
      <c r="BIW29" s="166"/>
      <c r="BIX29" s="166"/>
      <c r="BIY29" s="166"/>
      <c r="BIZ29" s="166"/>
      <c r="BJA29" s="166"/>
      <c r="BJB29" s="166"/>
      <c r="BJC29" s="166"/>
      <c r="BJD29" s="166"/>
      <c r="BJE29" s="166"/>
      <c r="BJF29" s="166"/>
      <c r="BJG29" s="166"/>
      <c r="BJH29" s="166"/>
      <c r="BJI29" s="166"/>
      <c r="BJJ29" s="166"/>
      <c r="BJK29" s="166"/>
      <c r="BJL29" s="166"/>
      <c r="BJM29" s="166"/>
      <c r="BJN29" s="166"/>
      <c r="BJO29" s="166"/>
      <c r="BJP29" s="166"/>
      <c r="BJQ29" s="166"/>
      <c r="BJR29" s="166"/>
      <c r="BJS29" s="166"/>
      <c r="BJT29" s="166"/>
      <c r="BJU29" s="166"/>
      <c r="BJV29" s="166"/>
      <c r="BJW29" s="166"/>
      <c r="BJX29" s="166"/>
      <c r="BJY29" s="166"/>
      <c r="BJZ29" s="166"/>
      <c r="BKA29" s="166"/>
      <c r="BKB29" s="166"/>
      <c r="BKC29" s="166"/>
      <c r="BKD29" s="166"/>
      <c r="BKE29" s="166"/>
      <c r="BKF29" s="166"/>
      <c r="BKG29" s="166"/>
      <c r="BKH29" s="166"/>
      <c r="BKI29" s="166"/>
      <c r="BKJ29" s="166"/>
      <c r="BKK29" s="166"/>
      <c r="BKL29" s="166"/>
      <c r="BKM29" s="166"/>
      <c r="BKN29" s="166"/>
      <c r="BKO29" s="166"/>
      <c r="BKP29" s="166"/>
      <c r="BKQ29" s="166"/>
      <c r="BKR29" s="166"/>
      <c r="BKS29" s="166"/>
      <c r="BKT29" s="166"/>
      <c r="BKU29" s="166"/>
      <c r="BKV29" s="166"/>
      <c r="BKW29" s="166"/>
      <c r="BKX29" s="166"/>
      <c r="BKY29" s="166"/>
      <c r="BKZ29" s="166"/>
      <c r="BLA29" s="166"/>
      <c r="BLB29" s="166"/>
      <c r="BLC29" s="166"/>
      <c r="BLD29" s="166"/>
      <c r="BLE29" s="166"/>
      <c r="BLF29" s="166"/>
      <c r="BLG29" s="166"/>
      <c r="BLH29" s="166"/>
      <c r="BLI29" s="166"/>
      <c r="BLJ29" s="166"/>
      <c r="BLK29" s="166"/>
      <c r="BLL29" s="166"/>
      <c r="BLM29" s="166"/>
      <c r="BLN29" s="166"/>
      <c r="BLO29" s="166"/>
      <c r="BLP29" s="166"/>
      <c r="BLQ29" s="166"/>
      <c r="BLR29" s="166"/>
      <c r="BLS29" s="166"/>
      <c r="BLT29" s="166"/>
      <c r="BLU29" s="166"/>
      <c r="BLV29" s="166"/>
      <c r="BLW29" s="166"/>
      <c r="BLX29" s="166"/>
      <c r="BLY29" s="166"/>
      <c r="BLZ29" s="166"/>
      <c r="BMA29" s="166"/>
      <c r="BMB29" s="166"/>
      <c r="BMC29" s="166"/>
      <c r="BMD29" s="166"/>
      <c r="BME29" s="166"/>
      <c r="BMF29" s="166"/>
      <c r="BMG29" s="166"/>
      <c r="BMH29" s="166"/>
      <c r="BMI29" s="166"/>
      <c r="BMJ29" s="166"/>
      <c r="BMK29" s="166"/>
      <c r="BML29" s="166"/>
      <c r="BMM29" s="166"/>
      <c r="BMN29" s="166"/>
      <c r="BMO29" s="166"/>
      <c r="BMP29" s="166"/>
      <c r="BMQ29" s="166"/>
      <c r="BMR29" s="166"/>
      <c r="BMS29" s="166"/>
      <c r="BMT29" s="166"/>
      <c r="BMU29" s="166"/>
      <c r="BMV29" s="166"/>
      <c r="BMW29" s="166"/>
      <c r="BMX29" s="166"/>
      <c r="BMY29" s="166"/>
      <c r="BMZ29" s="166"/>
      <c r="BNA29" s="166"/>
      <c r="BNB29" s="166"/>
      <c r="BNC29" s="166"/>
      <c r="BND29" s="166"/>
      <c r="BNE29" s="166"/>
      <c r="BNF29" s="166"/>
      <c r="BNG29" s="166"/>
      <c r="BNH29" s="166"/>
      <c r="BNI29" s="166"/>
      <c r="BNJ29" s="166"/>
      <c r="BNK29" s="166"/>
      <c r="BNL29" s="166"/>
      <c r="BNM29" s="166"/>
      <c r="BNN29" s="166"/>
      <c r="BNO29" s="166"/>
      <c r="BNP29" s="166"/>
      <c r="BNQ29" s="166"/>
      <c r="BNR29" s="166"/>
      <c r="BNS29" s="166"/>
      <c r="BNT29" s="166"/>
      <c r="BNU29" s="166"/>
      <c r="BNV29" s="166"/>
      <c r="BNW29" s="166"/>
      <c r="BNX29" s="166"/>
      <c r="BNY29" s="166"/>
      <c r="BNZ29" s="166"/>
      <c r="BOA29" s="166"/>
      <c r="BOB29" s="166"/>
      <c r="BOC29" s="166"/>
      <c r="BOD29" s="166"/>
      <c r="BOE29" s="166"/>
      <c r="BOF29" s="166"/>
      <c r="BOG29" s="166"/>
      <c r="BOH29" s="166"/>
      <c r="BOI29" s="166"/>
      <c r="BOJ29" s="166"/>
      <c r="BOK29" s="166"/>
      <c r="BOL29" s="166"/>
      <c r="BOM29" s="166"/>
      <c r="BON29" s="166"/>
      <c r="BOO29" s="166"/>
      <c r="BOP29" s="166"/>
      <c r="BOQ29" s="166"/>
      <c r="BOR29" s="166"/>
      <c r="BOS29" s="166"/>
      <c r="BOT29" s="166"/>
      <c r="BOU29" s="166"/>
      <c r="BOV29" s="166"/>
      <c r="BOW29" s="166"/>
      <c r="BOX29" s="166"/>
      <c r="BOY29" s="166"/>
      <c r="BOZ29" s="166"/>
      <c r="BPA29" s="166"/>
      <c r="BPB29" s="166"/>
      <c r="BPC29" s="166"/>
      <c r="BPD29" s="166"/>
      <c r="BPE29" s="166"/>
      <c r="BPF29" s="166"/>
      <c r="BPG29" s="166"/>
      <c r="BPH29" s="166"/>
      <c r="BPI29" s="166"/>
      <c r="BPJ29" s="166"/>
      <c r="BPK29" s="166"/>
      <c r="BPL29" s="166"/>
      <c r="BPM29" s="166"/>
      <c r="BPN29" s="166"/>
      <c r="BPO29" s="166"/>
      <c r="BPP29" s="166"/>
      <c r="BPQ29" s="166"/>
      <c r="BPR29" s="166"/>
      <c r="BPS29" s="166"/>
      <c r="BPT29" s="166"/>
      <c r="BPU29" s="166"/>
      <c r="BPV29" s="166"/>
      <c r="BPW29" s="166"/>
      <c r="BPX29" s="166"/>
      <c r="BPY29" s="166"/>
      <c r="BPZ29" s="166"/>
      <c r="BQA29" s="166"/>
      <c r="BQB29" s="166"/>
      <c r="BQC29" s="166"/>
      <c r="BQD29" s="166"/>
      <c r="BQE29" s="166"/>
      <c r="BQF29" s="166"/>
      <c r="BQG29" s="166"/>
      <c r="BQH29" s="166"/>
      <c r="BQI29" s="166"/>
      <c r="BQJ29" s="166"/>
      <c r="BQK29" s="166"/>
      <c r="BQL29" s="166"/>
      <c r="BQM29" s="166"/>
      <c r="BQN29" s="166"/>
      <c r="BQO29" s="166"/>
      <c r="BQP29" s="166"/>
      <c r="BQQ29" s="166"/>
      <c r="BQR29" s="166"/>
      <c r="BQS29" s="166"/>
      <c r="BQT29" s="166"/>
      <c r="BQU29" s="166"/>
      <c r="BQV29" s="166"/>
      <c r="BQW29" s="166"/>
      <c r="BQX29" s="166"/>
      <c r="BQY29" s="166"/>
      <c r="BQZ29" s="166"/>
      <c r="BRA29" s="166"/>
      <c r="BRB29" s="166"/>
      <c r="BRC29" s="166"/>
      <c r="BRD29" s="166"/>
      <c r="BRE29" s="166"/>
      <c r="BRF29" s="166"/>
      <c r="BRG29" s="166"/>
      <c r="BRH29" s="166"/>
      <c r="BRI29" s="166"/>
      <c r="BRJ29" s="166"/>
      <c r="BRK29" s="166"/>
      <c r="BRL29" s="166"/>
      <c r="BRM29" s="166"/>
      <c r="BRN29" s="166"/>
      <c r="BRO29" s="166"/>
      <c r="BRP29" s="166"/>
      <c r="BRQ29" s="166"/>
      <c r="BRR29" s="166"/>
      <c r="BRS29" s="166"/>
      <c r="BRT29" s="166"/>
      <c r="BRU29" s="166"/>
      <c r="BRV29" s="166"/>
      <c r="BRW29" s="166"/>
      <c r="BRX29" s="166"/>
      <c r="BRY29" s="166"/>
      <c r="BRZ29" s="166"/>
      <c r="BSA29" s="166"/>
      <c r="BSB29" s="166"/>
      <c r="BSC29" s="166"/>
      <c r="BSD29" s="166"/>
      <c r="BSE29" s="166"/>
      <c r="BSF29" s="166"/>
      <c r="BSG29" s="166"/>
      <c r="BSH29" s="166"/>
      <c r="BSI29" s="166"/>
      <c r="BSJ29" s="166"/>
      <c r="BSK29" s="166"/>
      <c r="BSL29" s="166"/>
      <c r="BSM29" s="166"/>
      <c r="BSN29" s="166"/>
      <c r="BSO29" s="166"/>
      <c r="BSP29" s="166"/>
      <c r="BSQ29" s="166"/>
      <c r="BSR29" s="166"/>
      <c r="BSS29" s="166"/>
    </row>
    <row r="30" spans="1:1865" ht="20.100000000000001" customHeight="1" x14ac:dyDescent="0.3">
      <c r="A30" s="100" t="s">
        <v>21</v>
      </c>
      <c r="B30" s="63" t="str">
        <f>IF(LEN(C45)=0,"",C45)</f>
        <v>Test - Création de tests unitaires</v>
      </c>
      <c r="C30" s="208"/>
      <c r="D30" s="148" t="str">
        <f t="shared" si="0"/>
        <v>0h30min</v>
      </c>
      <c r="E30" s="35">
        <v>6</v>
      </c>
      <c r="F30" s="36"/>
      <c r="G30" s="65"/>
      <c r="H30" s="65"/>
      <c r="I30" s="65"/>
      <c r="J30" s="37"/>
      <c r="K30" s="133"/>
      <c r="L30" s="37"/>
      <c r="M30" s="37"/>
      <c r="N30" s="37"/>
      <c r="O30" s="37"/>
      <c r="P30" s="37"/>
      <c r="Q30" s="138"/>
      <c r="R30" s="37"/>
      <c r="S30" s="37"/>
      <c r="T30" s="37"/>
      <c r="U30" s="37"/>
      <c r="V30" s="37"/>
      <c r="W30" s="75"/>
      <c r="X30" s="37"/>
      <c r="Y30" s="37"/>
      <c r="Z30" s="37"/>
      <c r="AA30" s="37"/>
      <c r="AB30" s="243"/>
      <c r="AC30" s="249"/>
      <c r="AD30" s="243"/>
      <c r="AE30" s="243"/>
      <c r="AF30" s="243"/>
      <c r="AG30" s="243"/>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165"/>
      <c r="BHG30" s="166"/>
      <c r="BHH30" s="166"/>
      <c r="BHI30" s="166"/>
      <c r="BHJ30" s="166"/>
      <c r="BHK30" s="166"/>
      <c r="BHL30" s="166"/>
      <c r="BHM30" s="166"/>
      <c r="BHN30" s="166"/>
      <c r="BHO30" s="166"/>
      <c r="BHP30" s="166"/>
      <c r="BHQ30" s="166"/>
      <c r="BHR30" s="166"/>
      <c r="BHS30" s="166"/>
      <c r="BHT30" s="166"/>
      <c r="BHU30" s="166"/>
      <c r="BHV30" s="166"/>
      <c r="BHW30" s="166"/>
      <c r="BHX30" s="166"/>
      <c r="BHY30" s="166"/>
      <c r="BHZ30" s="166"/>
      <c r="BIA30" s="166"/>
      <c r="BIB30" s="166"/>
      <c r="BIC30" s="166"/>
      <c r="BID30" s="166"/>
      <c r="BIE30" s="166"/>
      <c r="BIF30" s="166"/>
      <c r="BIG30" s="166"/>
      <c r="BIH30" s="166"/>
      <c r="BII30" s="166"/>
      <c r="BIJ30" s="166"/>
      <c r="BIK30" s="166"/>
      <c r="BIL30" s="166"/>
      <c r="BIM30" s="166"/>
      <c r="BIN30" s="166"/>
      <c r="BIO30" s="166"/>
      <c r="BIP30" s="166"/>
      <c r="BIQ30" s="166"/>
      <c r="BIR30" s="166"/>
      <c r="BIS30" s="166"/>
      <c r="BIT30" s="166"/>
      <c r="BIU30" s="166"/>
      <c r="BIV30" s="166"/>
      <c r="BIW30" s="166"/>
      <c r="BIX30" s="166"/>
      <c r="BIY30" s="166"/>
      <c r="BIZ30" s="166"/>
      <c r="BJA30" s="166"/>
      <c r="BJB30" s="166"/>
      <c r="BJC30" s="166"/>
      <c r="BJD30" s="166"/>
      <c r="BJE30" s="166"/>
      <c r="BJF30" s="166"/>
      <c r="BJG30" s="166"/>
      <c r="BJH30" s="166"/>
      <c r="BJI30" s="166"/>
      <c r="BJJ30" s="166"/>
      <c r="BJK30" s="166"/>
      <c r="BJL30" s="166"/>
      <c r="BJM30" s="166"/>
      <c r="BJN30" s="166"/>
      <c r="BJO30" s="166"/>
      <c r="BJP30" s="166"/>
      <c r="BJQ30" s="166"/>
      <c r="BJR30" s="166"/>
      <c r="BJS30" s="166"/>
      <c r="BJT30" s="166"/>
      <c r="BJU30" s="166"/>
      <c r="BJV30" s="166"/>
      <c r="BJW30" s="166"/>
      <c r="BJX30" s="166"/>
      <c r="BJY30" s="166"/>
      <c r="BJZ30" s="166"/>
      <c r="BKA30" s="166"/>
      <c r="BKB30" s="166"/>
      <c r="BKC30" s="166"/>
      <c r="BKD30" s="166"/>
      <c r="BKE30" s="166"/>
      <c r="BKF30" s="166"/>
      <c r="BKG30" s="166"/>
      <c r="BKH30" s="166"/>
      <c r="BKI30" s="166"/>
      <c r="BKJ30" s="166"/>
      <c r="BKK30" s="166"/>
      <c r="BKL30" s="166"/>
      <c r="BKM30" s="166"/>
      <c r="BKN30" s="166"/>
      <c r="BKO30" s="166"/>
      <c r="BKP30" s="166"/>
      <c r="BKQ30" s="166"/>
      <c r="BKR30" s="166"/>
      <c r="BKS30" s="166"/>
      <c r="BKT30" s="166"/>
      <c r="BKU30" s="166"/>
      <c r="BKV30" s="166"/>
      <c r="BKW30" s="166"/>
      <c r="BKX30" s="166"/>
      <c r="BKY30" s="166"/>
      <c r="BKZ30" s="166"/>
      <c r="BLA30" s="166"/>
      <c r="BLB30" s="166"/>
      <c r="BLC30" s="166"/>
      <c r="BLD30" s="166"/>
      <c r="BLE30" s="166"/>
      <c r="BLF30" s="166"/>
      <c r="BLG30" s="166"/>
      <c r="BLH30" s="166"/>
      <c r="BLI30" s="166"/>
      <c r="BLJ30" s="166"/>
      <c r="BLK30" s="166"/>
      <c r="BLL30" s="166"/>
      <c r="BLM30" s="166"/>
      <c r="BLN30" s="166"/>
      <c r="BLO30" s="166"/>
      <c r="BLP30" s="166"/>
      <c r="BLQ30" s="166"/>
      <c r="BLR30" s="166"/>
      <c r="BLS30" s="166"/>
      <c r="BLT30" s="166"/>
      <c r="BLU30" s="166"/>
      <c r="BLV30" s="166"/>
      <c r="BLW30" s="166"/>
      <c r="BLX30" s="166"/>
      <c r="BLY30" s="166"/>
      <c r="BLZ30" s="166"/>
      <c r="BMA30" s="166"/>
      <c r="BMB30" s="166"/>
      <c r="BMC30" s="166"/>
      <c r="BMD30" s="166"/>
      <c r="BME30" s="166"/>
      <c r="BMF30" s="166"/>
      <c r="BMG30" s="166"/>
      <c r="BMH30" s="166"/>
      <c r="BMI30" s="166"/>
      <c r="BMJ30" s="166"/>
      <c r="BMK30" s="166"/>
      <c r="BML30" s="166"/>
      <c r="BMM30" s="166"/>
      <c r="BMN30" s="166"/>
      <c r="BMO30" s="166"/>
      <c r="BMP30" s="166"/>
      <c r="BMQ30" s="166"/>
      <c r="BMR30" s="166"/>
      <c r="BMS30" s="166"/>
      <c r="BMT30" s="166"/>
      <c r="BMU30" s="166"/>
      <c r="BMV30" s="166"/>
      <c r="BMW30" s="166"/>
      <c r="BMX30" s="166"/>
      <c r="BMY30" s="166"/>
      <c r="BMZ30" s="166"/>
      <c r="BNA30" s="166"/>
      <c r="BNB30" s="166"/>
      <c r="BNC30" s="166"/>
      <c r="BND30" s="166"/>
      <c r="BNE30" s="166"/>
      <c r="BNF30" s="166"/>
      <c r="BNG30" s="166"/>
      <c r="BNH30" s="166"/>
      <c r="BNI30" s="166"/>
      <c r="BNJ30" s="166"/>
      <c r="BNK30" s="166"/>
      <c r="BNL30" s="166"/>
      <c r="BNM30" s="166"/>
      <c r="BNN30" s="166"/>
      <c r="BNO30" s="166"/>
      <c r="BNP30" s="166"/>
      <c r="BNQ30" s="166"/>
      <c r="BNR30" s="166"/>
      <c r="BNS30" s="166"/>
      <c r="BNT30" s="166"/>
      <c r="BNU30" s="166"/>
      <c r="BNV30" s="166"/>
      <c r="BNW30" s="166"/>
      <c r="BNX30" s="166"/>
      <c r="BNY30" s="166"/>
      <c r="BNZ30" s="166"/>
      <c r="BOA30" s="166"/>
      <c r="BOB30" s="166"/>
      <c r="BOC30" s="166"/>
      <c r="BOD30" s="166"/>
      <c r="BOE30" s="166"/>
      <c r="BOF30" s="166"/>
      <c r="BOG30" s="166"/>
      <c r="BOH30" s="166"/>
      <c r="BOI30" s="166"/>
      <c r="BOJ30" s="166"/>
      <c r="BOK30" s="166"/>
      <c r="BOL30" s="166"/>
      <c r="BOM30" s="166"/>
      <c r="BON30" s="166"/>
      <c r="BOO30" s="166"/>
      <c r="BOP30" s="166"/>
      <c r="BOQ30" s="166"/>
      <c r="BOR30" s="166"/>
      <c r="BOS30" s="166"/>
      <c r="BOT30" s="166"/>
      <c r="BOU30" s="166"/>
      <c r="BOV30" s="166"/>
      <c r="BOW30" s="166"/>
      <c r="BOX30" s="166"/>
      <c r="BOY30" s="166"/>
      <c r="BOZ30" s="166"/>
      <c r="BPA30" s="166"/>
      <c r="BPB30" s="166"/>
      <c r="BPC30" s="166"/>
      <c r="BPD30" s="166"/>
      <c r="BPE30" s="166"/>
      <c r="BPF30" s="166"/>
      <c r="BPG30" s="166"/>
      <c r="BPH30" s="166"/>
      <c r="BPI30" s="166"/>
      <c r="BPJ30" s="166"/>
      <c r="BPK30" s="166"/>
      <c r="BPL30" s="166"/>
      <c r="BPM30" s="166"/>
      <c r="BPN30" s="166"/>
      <c r="BPO30" s="166"/>
      <c r="BPP30" s="166"/>
      <c r="BPQ30" s="166"/>
      <c r="BPR30" s="166"/>
      <c r="BPS30" s="166"/>
      <c r="BPT30" s="166"/>
      <c r="BPU30" s="166"/>
      <c r="BPV30" s="166"/>
      <c r="BPW30" s="166"/>
      <c r="BPX30" s="166"/>
      <c r="BPY30" s="166"/>
      <c r="BPZ30" s="166"/>
      <c r="BQA30" s="166"/>
      <c r="BQB30" s="166"/>
      <c r="BQC30" s="166"/>
      <c r="BQD30" s="166"/>
      <c r="BQE30" s="166"/>
      <c r="BQF30" s="166"/>
      <c r="BQG30" s="166"/>
      <c r="BQH30" s="166"/>
      <c r="BQI30" s="166"/>
      <c r="BQJ30" s="166"/>
      <c r="BQK30" s="166"/>
      <c r="BQL30" s="166"/>
      <c r="BQM30" s="166"/>
      <c r="BQN30" s="166"/>
      <c r="BQO30" s="166"/>
      <c r="BQP30" s="166"/>
      <c r="BQQ30" s="166"/>
      <c r="BQR30" s="166"/>
      <c r="BQS30" s="166"/>
      <c r="BQT30" s="166"/>
      <c r="BQU30" s="166"/>
      <c r="BQV30" s="166"/>
      <c r="BQW30" s="166"/>
      <c r="BQX30" s="166"/>
      <c r="BQY30" s="166"/>
      <c r="BQZ30" s="166"/>
      <c r="BRA30" s="166"/>
      <c r="BRB30" s="166"/>
      <c r="BRC30" s="166"/>
      <c r="BRD30" s="166"/>
      <c r="BRE30" s="166"/>
      <c r="BRF30" s="166"/>
      <c r="BRG30" s="166"/>
      <c r="BRH30" s="166"/>
      <c r="BRI30" s="166"/>
      <c r="BRJ30" s="166"/>
      <c r="BRK30" s="166"/>
      <c r="BRL30" s="166"/>
      <c r="BRM30" s="166"/>
      <c r="BRN30" s="166"/>
      <c r="BRO30" s="166"/>
      <c r="BRP30" s="166"/>
      <c r="BRQ30" s="166"/>
      <c r="BRR30" s="166"/>
      <c r="BRS30" s="166"/>
      <c r="BRT30" s="166"/>
      <c r="BRU30" s="166"/>
      <c r="BRV30" s="166"/>
      <c r="BRW30" s="166"/>
      <c r="BRX30" s="166"/>
      <c r="BRY30" s="166"/>
      <c r="BRZ30" s="166"/>
      <c r="BSA30" s="166"/>
      <c r="BSB30" s="166"/>
      <c r="BSC30" s="166"/>
      <c r="BSD30" s="166"/>
      <c r="BSE30" s="166"/>
      <c r="BSF30" s="166"/>
      <c r="BSG30" s="166"/>
      <c r="BSH30" s="166"/>
      <c r="BSI30" s="166"/>
      <c r="BSJ30" s="166"/>
      <c r="BSK30" s="166"/>
      <c r="BSL30" s="166"/>
      <c r="BSM30" s="166"/>
      <c r="BSN30" s="166"/>
      <c r="BSO30" s="166"/>
      <c r="BSP30" s="166"/>
      <c r="BSQ30" s="166"/>
      <c r="BSR30" s="166"/>
      <c r="BSS30" s="166"/>
    </row>
    <row r="31" spans="1:1865" ht="20.100000000000001" customHeight="1" x14ac:dyDescent="0.25">
      <c r="A31" s="100" t="s">
        <v>20</v>
      </c>
      <c r="B31" s="63" t="str">
        <f>IF(LEN(C47)=0,"",C47)</f>
        <v>Test - Vérification des solutions</v>
      </c>
      <c r="C31" s="207" t="s">
        <v>92</v>
      </c>
      <c r="D31" s="146" t="str">
        <f t="shared" si="0"/>
        <v>0h50min</v>
      </c>
      <c r="E31" s="39">
        <v>10</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176"/>
      <c r="AM31" s="17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175"/>
      <c r="BO31" s="176"/>
      <c r="BP31" s="176"/>
      <c r="BQ31" s="176"/>
      <c r="BR31" s="177"/>
      <c r="BS31" s="178"/>
      <c r="BT31" s="177"/>
      <c r="BU31" s="177"/>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165"/>
      <c r="BHG31" s="166"/>
      <c r="BHH31" s="166"/>
      <c r="BHI31" s="166"/>
      <c r="BHJ31" s="166"/>
      <c r="BHK31" s="166"/>
      <c r="BHL31" s="166"/>
      <c r="BHM31" s="166"/>
      <c r="BHN31" s="166"/>
      <c r="BHO31" s="166"/>
      <c r="BHP31" s="166"/>
      <c r="BHQ31" s="166"/>
      <c r="BHR31" s="166"/>
      <c r="BHS31" s="166"/>
      <c r="BHT31" s="166"/>
      <c r="BHU31" s="166"/>
      <c r="BHV31" s="166"/>
      <c r="BHW31" s="166"/>
      <c r="BHX31" s="166"/>
      <c r="BHY31" s="166"/>
      <c r="BHZ31" s="166"/>
      <c r="BIA31" s="166"/>
      <c r="BIB31" s="166"/>
      <c r="BIC31" s="166"/>
      <c r="BID31" s="166"/>
      <c r="BIE31" s="166"/>
      <c r="BIF31" s="166"/>
      <c r="BIG31" s="166"/>
      <c r="BIH31" s="166"/>
      <c r="BII31" s="166"/>
      <c r="BIJ31" s="166"/>
      <c r="BIK31" s="166"/>
      <c r="BIL31" s="166"/>
      <c r="BIM31" s="166"/>
      <c r="BIN31" s="166"/>
      <c r="BIO31" s="166"/>
      <c r="BIP31" s="166"/>
      <c r="BIQ31" s="166"/>
      <c r="BIR31" s="166"/>
      <c r="BIS31" s="166"/>
      <c r="BIT31" s="166"/>
      <c r="BIU31" s="166"/>
      <c r="BIV31" s="166"/>
      <c r="BIW31" s="166"/>
      <c r="BIX31" s="166"/>
      <c r="BIY31" s="166"/>
      <c r="BIZ31" s="166"/>
      <c r="BJA31" s="166"/>
      <c r="BJB31" s="166"/>
      <c r="BJC31" s="166"/>
      <c r="BJD31" s="166"/>
      <c r="BJE31" s="166"/>
      <c r="BJF31" s="166"/>
      <c r="BJG31" s="166"/>
      <c r="BJH31" s="166"/>
      <c r="BJI31" s="166"/>
      <c r="BJJ31" s="166"/>
      <c r="BJK31" s="166"/>
      <c r="BJL31" s="166"/>
      <c r="BJM31" s="166"/>
      <c r="BJN31" s="166"/>
      <c r="BJO31" s="166"/>
      <c r="BJP31" s="166"/>
      <c r="BJQ31" s="166"/>
      <c r="BJR31" s="166"/>
      <c r="BJS31" s="166"/>
      <c r="BJT31" s="166"/>
      <c r="BJU31" s="166"/>
      <c r="BJV31" s="166"/>
      <c r="BJW31" s="166"/>
      <c r="BJX31" s="166"/>
      <c r="BJY31" s="166"/>
      <c r="BJZ31" s="166"/>
      <c r="BKA31" s="166"/>
      <c r="BKB31" s="166"/>
      <c r="BKC31" s="166"/>
      <c r="BKD31" s="166"/>
      <c r="BKE31" s="166"/>
      <c r="BKF31" s="166"/>
      <c r="BKG31" s="166"/>
      <c r="BKH31" s="166"/>
      <c r="BKI31" s="166"/>
      <c r="BKJ31" s="166"/>
      <c r="BKK31" s="166"/>
      <c r="BKL31" s="166"/>
      <c r="BKM31" s="166"/>
      <c r="BKN31" s="166"/>
      <c r="BKO31" s="166"/>
      <c r="BKP31" s="166"/>
      <c r="BKQ31" s="166"/>
      <c r="BKR31" s="166"/>
      <c r="BKS31" s="166"/>
      <c r="BKT31" s="166"/>
      <c r="BKU31" s="166"/>
      <c r="BKV31" s="166"/>
      <c r="BKW31" s="166"/>
      <c r="BKX31" s="166"/>
      <c r="BKY31" s="166"/>
      <c r="BKZ31" s="166"/>
      <c r="BLA31" s="166"/>
      <c r="BLB31" s="166"/>
      <c r="BLC31" s="166"/>
      <c r="BLD31" s="166"/>
      <c r="BLE31" s="166"/>
      <c r="BLF31" s="166"/>
      <c r="BLG31" s="166"/>
      <c r="BLH31" s="166"/>
      <c r="BLI31" s="166"/>
      <c r="BLJ31" s="166"/>
      <c r="BLK31" s="166"/>
      <c r="BLL31" s="166"/>
      <c r="BLM31" s="166"/>
      <c r="BLN31" s="166"/>
      <c r="BLO31" s="166"/>
      <c r="BLP31" s="166"/>
      <c r="BLQ31" s="166"/>
      <c r="BLR31" s="166"/>
      <c r="BLS31" s="166"/>
      <c r="BLT31" s="166"/>
      <c r="BLU31" s="166"/>
      <c r="BLV31" s="166"/>
      <c r="BLW31" s="166"/>
      <c r="BLX31" s="166"/>
      <c r="BLY31" s="166"/>
      <c r="BLZ31" s="166"/>
      <c r="BMA31" s="166"/>
      <c r="BMB31" s="166"/>
      <c r="BMC31" s="166"/>
      <c r="BMD31" s="166"/>
      <c r="BME31" s="166"/>
      <c r="BMF31" s="166"/>
      <c r="BMG31" s="166"/>
      <c r="BMH31" s="166"/>
      <c r="BMI31" s="166"/>
      <c r="BMJ31" s="166"/>
      <c r="BMK31" s="166"/>
      <c r="BML31" s="166"/>
      <c r="BMM31" s="166"/>
      <c r="BMN31" s="166"/>
      <c r="BMO31" s="166"/>
      <c r="BMP31" s="166"/>
      <c r="BMQ31" s="166"/>
      <c r="BMR31" s="166"/>
      <c r="BMS31" s="166"/>
      <c r="BMT31" s="166"/>
      <c r="BMU31" s="166"/>
      <c r="BMV31" s="166"/>
      <c r="BMW31" s="166"/>
      <c r="BMX31" s="166"/>
      <c r="BMY31" s="166"/>
      <c r="BMZ31" s="166"/>
      <c r="BNA31" s="166"/>
      <c r="BNB31" s="166"/>
      <c r="BNC31" s="166"/>
      <c r="BND31" s="166"/>
      <c r="BNE31" s="166"/>
      <c r="BNF31" s="166"/>
      <c r="BNG31" s="166"/>
      <c r="BNH31" s="166"/>
      <c r="BNI31" s="166"/>
      <c r="BNJ31" s="166"/>
      <c r="BNK31" s="166"/>
      <c r="BNL31" s="166"/>
      <c r="BNM31" s="166"/>
      <c r="BNN31" s="166"/>
      <c r="BNO31" s="166"/>
      <c r="BNP31" s="166"/>
      <c r="BNQ31" s="166"/>
      <c r="BNR31" s="166"/>
      <c r="BNS31" s="166"/>
      <c r="BNT31" s="166"/>
      <c r="BNU31" s="166"/>
      <c r="BNV31" s="166"/>
      <c r="BNW31" s="166"/>
      <c r="BNX31" s="166"/>
      <c r="BNY31" s="166"/>
      <c r="BNZ31" s="166"/>
      <c r="BOA31" s="166"/>
      <c r="BOB31" s="166"/>
      <c r="BOC31" s="166"/>
      <c r="BOD31" s="166"/>
      <c r="BOE31" s="166"/>
      <c r="BOF31" s="166"/>
      <c r="BOG31" s="166"/>
      <c r="BOH31" s="166"/>
      <c r="BOI31" s="166"/>
      <c r="BOJ31" s="166"/>
      <c r="BOK31" s="166"/>
      <c r="BOL31" s="166"/>
      <c r="BOM31" s="166"/>
      <c r="BON31" s="166"/>
      <c r="BOO31" s="166"/>
      <c r="BOP31" s="166"/>
      <c r="BOQ31" s="166"/>
      <c r="BOR31" s="166"/>
      <c r="BOS31" s="166"/>
      <c r="BOT31" s="166"/>
      <c r="BOU31" s="166"/>
      <c r="BOV31" s="166"/>
      <c r="BOW31" s="166"/>
      <c r="BOX31" s="166"/>
      <c r="BOY31" s="166"/>
      <c r="BOZ31" s="166"/>
      <c r="BPA31" s="166"/>
      <c r="BPB31" s="166"/>
      <c r="BPC31" s="166"/>
      <c r="BPD31" s="166"/>
      <c r="BPE31" s="166"/>
      <c r="BPF31" s="166"/>
      <c r="BPG31" s="166"/>
      <c r="BPH31" s="166"/>
      <c r="BPI31" s="166"/>
      <c r="BPJ31" s="166"/>
      <c r="BPK31" s="166"/>
      <c r="BPL31" s="166"/>
      <c r="BPM31" s="166"/>
      <c r="BPN31" s="166"/>
      <c r="BPO31" s="166"/>
      <c r="BPP31" s="166"/>
      <c r="BPQ31" s="166"/>
      <c r="BPR31" s="166"/>
      <c r="BPS31" s="166"/>
      <c r="BPT31" s="166"/>
      <c r="BPU31" s="166"/>
      <c r="BPV31" s="166"/>
      <c r="BPW31" s="166"/>
      <c r="BPX31" s="166"/>
      <c r="BPY31" s="166"/>
      <c r="BPZ31" s="166"/>
      <c r="BQA31" s="166"/>
      <c r="BQB31" s="166"/>
      <c r="BQC31" s="166"/>
      <c r="BQD31" s="166"/>
      <c r="BQE31" s="166"/>
      <c r="BQF31" s="166"/>
      <c r="BQG31" s="166"/>
      <c r="BQH31" s="166"/>
      <c r="BQI31" s="166"/>
      <c r="BQJ31" s="166"/>
      <c r="BQK31" s="166"/>
      <c r="BQL31" s="166"/>
      <c r="BQM31" s="166"/>
      <c r="BQN31" s="166"/>
      <c r="BQO31" s="166"/>
      <c r="BQP31" s="166"/>
      <c r="BQQ31" s="166"/>
      <c r="BQR31" s="166"/>
      <c r="BQS31" s="166"/>
      <c r="BQT31" s="166"/>
      <c r="BQU31" s="166"/>
      <c r="BQV31" s="166"/>
      <c r="BQW31" s="166"/>
      <c r="BQX31" s="166"/>
      <c r="BQY31" s="166"/>
      <c r="BQZ31" s="166"/>
      <c r="BRA31" s="166"/>
      <c r="BRB31" s="166"/>
      <c r="BRC31" s="166"/>
      <c r="BRD31" s="166"/>
      <c r="BRE31" s="166"/>
      <c r="BRF31" s="166"/>
      <c r="BRG31" s="166"/>
      <c r="BRH31" s="166"/>
      <c r="BRI31" s="166"/>
      <c r="BRJ31" s="166"/>
      <c r="BRK31" s="166"/>
      <c r="BRL31" s="166"/>
      <c r="BRM31" s="166"/>
      <c r="BRN31" s="166"/>
      <c r="BRO31" s="166"/>
      <c r="BRP31" s="166"/>
      <c r="BRQ31" s="166"/>
      <c r="BRR31" s="166"/>
      <c r="BRS31" s="166"/>
      <c r="BRT31" s="166"/>
      <c r="BRU31" s="166"/>
      <c r="BRV31" s="166"/>
      <c r="BRW31" s="166"/>
      <c r="BRX31" s="166"/>
      <c r="BRY31" s="166"/>
      <c r="BRZ31" s="166"/>
      <c r="BSA31" s="166"/>
      <c r="BSB31" s="166"/>
      <c r="BSC31" s="166"/>
      <c r="BSD31" s="166"/>
      <c r="BSE31" s="166"/>
      <c r="BSF31" s="166"/>
      <c r="BSG31" s="166"/>
      <c r="BSH31" s="166"/>
      <c r="BSI31" s="166"/>
      <c r="BSJ31" s="166"/>
      <c r="BSK31" s="166"/>
      <c r="BSL31" s="166"/>
      <c r="BSM31" s="166"/>
      <c r="BSN31" s="166"/>
      <c r="BSO31" s="166"/>
      <c r="BSP31" s="166"/>
      <c r="BSQ31" s="166"/>
      <c r="BSR31" s="166"/>
      <c r="BSS31" s="166"/>
    </row>
    <row r="32" spans="1:1865" ht="20.100000000000001" customHeight="1" x14ac:dyDescent="0.3">
      <c r="A32" s="100" t="s">
        <v>21</v>
      </c>
      <c r="B32" s="63" t="str">
        <f>IF(LEN(C49)=0,"",C49)</f>
        <v>Réalisation - Fusion des fichiers</v>
      </c>
      <c r="C32" s="208"/>
      <c r="D32" s="148" t="str">
        <f t="shared" si="0"/>
        <v>1h35min</v>
      </c>
      <c r="E32" s="27">
        <v>19</v>
      </c>
      <c r="F32" s="28"/>
      <c r="G32" s="67"/>
      <c r="H32" s="67"/>
      <c r="I32" s="67"/>
      <c r="J32" s="29"/>
      <c r="K32" s="131"/>
      <c r="L32" s="29"/>
      <c r="M32" s="29"/>
      <c r="N32" s="29"/>
      <c r="O32" s="29"/>
      <c r="P32" s="245"/>
      <c r="Q32" s="246"/>
      <c r="R32" s="245"/>
      <c r="S32" s="245"/>
      <c r="T32" s="245"/>
      <c r="U32" s="245"/>
      <c r="V32" s="245"/>
      <c r="W32" s="247"/>
      <c r="X32" s="245"/>
      <c r="Y32" s="245"/>
      <c r="Z32" s="245"/>
      <c r="AA32" s="245"/>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45"/>
      <c r="CA32" s="245"/>
      <c r="CB32" s="245"/>
      <c r="CC32" s="245"/>
      <c r="CD32" s="245"/>
      <c r="CE32" s="247"/>
      <c r="CF32" s="245"/>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165"/>
      <c r="BHG32" s="166"/>
      <c r="BHH32" s="166"/>
      <c r="BHI32" s="166"/>
      <c r="BHJ32" s="166"/>
      <c r="BHK32" s="166"/>
      <c r="BHL32" s="166"/>
      <c r="BHM32" s="166"/>
      <c r="BHN32" s="166"/>
      <c r="BHO32" s="166"/>
      <c r="BHP32" s="166"/>
      <c r="BHQ32" s="166"/>
      <c r="BHR32" s="166"/>
      <c r="BHS32" s="166"/>
      <c r="BHT32" s="166"/>
      <c r="BHU32" s="166"/>
      <c r="BHV32" s="166"/>
      <c r="BHW32" s="166"/>
      <c r="BHX32" s="166"/>
      <c r="BHY32" s="166"/>
      <c r="BHZ32" s="166"/>
      <c r="BIA32" s="166"/>
      <c r="BIB32" s="166"/>
      <c r="BIC32" s="166"/>
      <c r="BID32" s="166"/>
      <c r="BIE32" s="166"/>
      <c r="BIF32" s="166"/>
      <c r="BIG32" s="166"/>
      <c r="BIH32" s="166"/>
      <c r="BII32" s="166"/>
      <c r="BIJ32" s="166"/>
      <c r="BIK32" s="166"/>
      <c r="BIL32" s="166"/>
      <c r="BIM32" s="166"/>
      <c r="BIN32" s="166"/>
      <c r="BIO32" s="166"/>
      <c r="BIP32" s="166"/>
      <c r="BIQ32" s="166"/>
      <c r="BIR32" s="166"/>
      <c r="BIS32" s="166"/>
      <c r="BIT32" s="166"/>
      <c r="BIU32" s="166"/>
      <c r="BIV32" s="166"/>
      <c r="BIW32" s="166"/>
      <c r="BIX32" s="166"/>
      <c r="BIY32" s="166"/>
      <c r="BIZ32" s="166"/>
      <c r="BJA32" s="166"/>
      <c r="BJB32" s="166"/>
      <c r="BJC32" s="166"/>
      <c r="BJD32" s="166"/>
      <c r="BJE32" s="166"/>
      <c r="BJF32" s="166"/>
      <c r="BJG32" s="166"/>
      <c r="BJH32" s="166"/>
      <c r="BJI32" s="166"/>
      <c r="BJJ32" s="166"/>
      <c r="BJK32" s="166"/>
      <c r="BJL32" s="166"/>
      <c r="BJM32" s="166"/>
      <c r="BJN32" s="166"/>
      <c r="BJO32" s="166"/>
      <c r="BJP32" s="166"/>
      <c r="BJQ32" s="166"/>
      <c r="BJR32" s="166"/>
      <c r="BJS32" s="166"/>
      <c r="BJT32" s="166"/>
      <c r="BJU32" s="166"/>
      <c r="BJV32" s="166"/>
      <c r="BJW32" s="166"/>
      <c r="BJX32" s="166"/>
      <c r="BJY32" s="166"/>
      <c r="BJZ32" s="166"/>
      <c r="BKA32" s="166"/>
      <c r="BKB32" s="166"/>
      <c r="BKC32" s="166"/>
      <c r="BKD32" s="166"/>
      <c r="BKE32" s="166"/>
      <c r="BKF32" s="166"/>
      <c r="BKG32" s="166"/>
      <c r="BKH32" s="166"/>
      <c r="BKI32" s="166"/>
      <c r="BKJ32" s="166"/>
      <c r="BKK32" s="166"/>
      <c r="BKL32" s="166"/>
      <c r="BKM32" s="166"/>
      <c r="BKN32" s="166"/>
      <c r="BKO32" s="166"/>
      <c r="BKP32" s="166"/>
      <c r="BKQ32" s="166"/>
      <c r="BKR32" s="166"/>
      <c r="BKS32" s="166"/>
      <c r="BKT32" s="166"/>
      <c r="BKU32" s="166"/>
      <c r="BKV32" s="166"/>
      <c r="BKW32" s="166"/>
      <c r="BKX32" s="166"/>
      <c r="BKY32" s="166"/>
      <c r="BKZ32" s="166"/>
      <c r="BLA32" s="166"/>
      <c r="BLB32" s="166"/>
      <c r="BLC32" s="166"/>
      <c r="BLD32" s="166"/>
      <c r="BLE32" s="166"/>
      <c r="BLF32" s="166"/>
      <c r="BLG32" s="166"/>
      <c r="BLH32" s="166"/>
      <c r="BLI32" s="166"/>
      <c r="BLJ32" s="166"/>
      <c r="BLK32" s="166"/>
      <c r="BLL32" s="166"/>
      <c r="BLM32" s="166"/>
      <c r="BLN32" s="166"/>
      <c r="BLO32" s="166"/>
      <c r="BLP32" s="166"/>
      <c r="BLQ32" s="166"/>
      <c r="BLR32" s="166"/>
      <c r="BLS32" s="166"/>
      <c r="BLT32" s="166"/>
      <c r="BLU32" s="166"/>
      <c r="BLV32" s="166"/>
      <c r="BLW32" s="166"/>
      <c r="BLX32" s="166"/>
      <c r="BLY32" s="166"/>
      <c r="BLZ32" s="166"/>
      <c r="BMA32" s="166"/>
      <c r="BMB32" s="166"/>
      <c r="BMC32" s="166"/>
      <c r="BMD32" s="166"/>
      <c r="BME32" s="166"/>
      <c r="BMF32" s="166"/>
      <c r="BMG32" s="166"/>
      <c r="BMH32" s="166"/>
      <c r="BMI32" s="166"/>
      <c r="BMJ32" s="166"/>
      <c r="BMK32" s="166"/>
      <c r="BML32" s="166"/>
      <c r="BMM32" s="166"/>
      <c r="BMN32" s="166"/>
      <c r="BMO32" s="166"/>
      <c r="BMP32" s="166"/>
      <c r="BMQ32" s="166"/>
      <c r="BMR32" s="166"/>
      <c r="BMS32" s="166"/>
      <c r="BMT32" s="166"/>
      <c r="BMU32" s="166"/>
      <c r="BMV32" s="166"/>
      <c r="BMW32" s="166"/>
      <c r="BMX32" s="166"/>
      <c r="BMY32" s="166"/>
      <c r="BMZ32" s="166"/>
      <c r="BNA32" s="166"/>
      <c r="BNB32" s="166"/>
      <c r="BNC32" s="166"/>
      <c r="BND32" s="166"/>
      <c r="BNE32" s="166"/>
      <c r="BNF32" s="166"/>
      <c r="BNG32" s="166"/>
      <c r="BNH32" s="166"/>
      <c r="BNI32" s="166"/>
      <c r="BNJ32" s="166"/>
      <c r="BNK32" s="166"/>
      <c r="BNL32" s="166"/>
      <c r="BNM32" s="166"/>
      <c r="BNN32" s="166"/>
      <c r="BNO32" s="166"/>
      <c r="BNP32" s="166"/>
      <c r="BNQ32" s="166"/>
      <c r="BNR32" s="166"/>
      <c r="BNS32" s="166"/>
      <c r="BNT32" s="166"/>
      <c r="BNU32" s="166"/>
      <c r="BNV32" s="166"/>
      <c r="BNW32" s="166"/>
      <c r="BNX32" s="166"/>
      <c r="BNY32" s="166"/>
      <c r="BNZ32" s="166"/>
      <c r="BOA32" s="166"/>
      <c r="BOB32" s="166"/>
      <c r="BOC32" s="166"/>
      <c r="BOD32" s="166"/>
      <c r="BOE32" s="166"/>
      <c r="BOF32" s="166"/>
      <c r="BOG32" s="166"/>
      <c r="BOH32" s="166"/>
      <c r="BOI32" s="166"/>
      <c r="BOJ32" s="166"/>
      <c r="BOK32" s="166"/>
      <c r="BOL32" s="166"/>
      <c r="BOM32" s="166"/>
      <c r="BON32" s="166"/>
      <c r="BOO32" s="166"/>
      <c r="BOP32" s="166"/>
      <c r="BOQ32" s="166"/>
      <c r="BOR32" s="166"/>
      <c r="BOS32" s="166"/>
      <c r="BOT32" s="166"/>
      <c r="BOU32" s="166"/>
      <c r="BOV32" s="166"/>
      <c r="BOW32" s="166"/>
      <c r="BOX32" s="166"/>
      <c r="BOY32" s="166"/>
      <c r="BOZ32" s="166"/>
      <c r="BPA32" s="166"/>
      <c r="BPB32" s="166"/>
      <c r="BPC32" s="166"/>
      <c r="BPD32" s="166"/>
      <c r="BPE32" s="166"/>
      <c r="BPF32" s="166"/>
      <c r="BPG32" s="166"/>
      <c r="BPH32" s="166"/>
      <c r="BPI32" s="166"/>
      <c r="BPJ32" s="166"/>
      <c r="BPK32" s="166"/>
      <c r="BPL32" s="166"/>
      <c r="BPM32" s="166"/>
      <c r="BPN32" s="166"/>
      <c r="BPO32" s="166"/>
      <c r="BPP32" s="166"/>
      <c r="BPQ32" s="166"/>
      <c r="BPR32" s="166"/>
      <c r="BPS32" s="166"/>
      <c r="BPT32" s="166"/>
      <c r="BPU32" s="166"/>
      <c r="BPV32" s="166"/>
      <c r="BPW32" s="166"/>
      <c r="BPX32" s="166"/>
      <c r="BPY32" s="166"/>
      <c r="BPZ32" s="166"/>
      <c r="BQA32" s="166"/>
      <c r="BQB32" s="166"/>
      <c r="BQC32" s="166"/>
      <c r="BQD32" s="166"/>
      <c r="BQE32" s="166"/>
      <c r="BQF32" s="166"/>
      <c r="BQG32" s="166"/>
      <c r="BQH32" s="166"/>
      <c r="BQI32" s="166"/>
      <c r="BQJ32" s="166"/>
      <c r="BQK32" s="166"/>
      <c r="BQL32" s="166"/>
      <c r="BQM32" s="166"/>
      <c r="BQN32" s="166"/>
      <c r="BQO32" s="166"/>
      <c r="BQP32" s="166"/>
      <c r="BQQ32" s="166"/>
      <c r="BQR32" s="166"/>
      <c r="BQS32" s="166"/>
      <c r="BQT32" s="166"/>
      <c r="BQU32" s="166"/>
      <c r="BQV32" s="166"/>
      <c r="BQW32" s="166"/>
      <c r="BQX32" s="166"/>
      <c r="BQY32" s="166"/>
      <c r="BQZ32" s="166"/>
      <c r="BRA32" s="166"/>
      <c r="BRB32" s="166"/>
      <c r="BRC32" s="166"/>
      <c r="BRD32" s="166"/>
      <c r="BRE32" s="166"/>
      <c r="BRF32" s="166"/>
      <c r="BRG32" s="166"/>
      <c r="BRH32" s="166"/>
      <c r="BRI32" s="166"/>
      <c r="BRJ32" s="166"/>
      <c r="BRK32" s="166"/>
      <c r="BRL32" s="166"/>
      <c r="BRM32" s="166"/>
      <c r="BRN32" s="166"/>
      <c r="BRO32" s="166"/>
      <c r="BRP32" s="166"/>
      <c r="BRQ32" s="166"/>
      <c r="BRR32" s="166"/>
      <c r="BRS32" s="166"/>
      <c r="BRT32" s="166"/>
      <c r="BRU32" s="166"/>
      <c r="BRV32" s="166"/>
      <c r="BRW32" s="166"/>
      <c r="BRX32" s="166"/>
      <c r="BRY32" s="166"/>
      <c r="BRZ32" s="166"/>
      <c r="BSA32" s="166"/>
      <c r="BSB32" s="166"/>
      <c r="BSC32" s="166"/>
      <c r="BSD32" s="166"/>
      <c r="BSE32" s="166"/>
      <c r="BSF32" s="166"/>
      <c r="BSG32" s="166"/>
      <c r="BSH32" s="166"/>
      <c r="BSI32" s="166"/>
      <c r="BSJ32" s="166"/>
      <c r="BSK32" s="166"/>
      <c r="BSL32" s="166"/>
      <c r="BSM32" s="166"/>
      <c r="BSN32" s="166"/>
      <c r="BSO32" s="166"/>
      <c r="BSP32" s="166"/>
      <c r="BSQ32" s="166"/>
      <c r="BSR32" s="166"/>
      <c r="BSS32" s="166"/>
    </row>
    <row r="33" spans="1:1865" ht="20.100000000000001" customHeight="1" x14ac:dyDescent="0.25">
      <c r="A33" s="100" t="s">
        <v>20</v>
      </c>
      <c r="B33" s="63" t="str">
        <f>IF(LEN(C51)=0,"",C51)</f>
        <v/>
      </c>
      <c r="C33" s="207" t="s">
        <v>93</v>
      </c>
      <c r="D33" s="146" t="str">
        <f t="shared" si="0"/>
        <v>8h10min</v>
      </c>
      <c r="E33" s="31">
        <v>98</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169"/>
      <c r="CK33" s="171"/>
      <c r="CL33" s="169"/>
      <c r="CM33" s="169"/>
      <c r="CN33" s="169"/>
      <c r="CO33" s="169"/>
      <c r="CP33" s="169"/>
      <c r="CQ33" s="181"/>
      <c r="CR33" s="168"/>
      <c r="CS33" s="168"/>
      <c r="CT33" s="168"/>
      <c r="CU33" s="168"/>
      <c r="CV33" s="169"/>
      <c r="CW33" s="171"/>
      <c r="CX33" s="169"/>
      <c r="CY33" s="169"/>
      <c r="CZ33" s="169"/>
      <c r="DA33" s="169"/>
      <c r="DB33" s="169"/>
      <c r="DC33" s="181"/>
      <c r="DD33" s="33"/>
      <c r="DE33" s="33"/>
      <c r="DF33" s="33"/>
      <c r="DG33" s="33"/>
      <c r="DH33" s="33"/>
      <c r="DI33" s="137"/>
      <c r="DJ33" s="33"/>
      <c r="DK33" s="33"/>
      <c r="DL33" s="33"/>
      <c r="DM33" s="33"/>
      <c r="DN33" s="33"/>
      <c r="DO33" s="74"/>
      <c r="DP33" s="33"/>
      <c r="DQ33" s="33"/>
      <c r="DR33" s="33"/>
      <c r="DS33" s="33"/>
      <c r="DT33" s="33"/>
      <c r="DU33" s="34"/>
      <c r="DV33" s="167"/>
      <c r="DW33" s="168"/>
      <c r="DX33" s="168"/>
      <c r="DY33" s="168"/>
      <c r="DZ33" s="169"/>
      <c r="EA33" s="170"/>
      <c r="EB33" s="169"/>
      <c r="EC33" s="169"/>
      <c r="ED33" s="169"/>
      <c r="EE33" s="169"/>
      <c r="EF33" s="169"/>
      <c r="EG33" s="171"/>
      <c r="EH33" s="169"/>
      <c r="EI33" s="169"/>
      <c r="EJ33" s="169"/>
      <c r="EK33" s="169"/>
      <c r="EL33" s="169"/>
      <c r="EM33" s="181"/>
      <c r="EN33" s="169"/>
      <c r="EO33" s="169"/>
      <c r="EP33" s="169"/>
      <c r="EQ33" s="169"/>
      <c r="ER33" s="169"/>
      <c r="ES33" s="171"/>
      <c r="ET33" s="169"/>
      <c r="EU33" s="169"/>
      <c r="EV33" s="169"/>
      <c r="EW33" s="169"/>
      <c r="EX33" s="169"/>
      <c r="EY33" s="181"/>
      <c r="EZ33" s="168"/>
      <c r="FA33" s="168"/>
      <c r="FB33" s="168"/>
      <c r="FC33" s="168"/>
      <c r="FD33" s="169"/>
      <c r="FE33" s="171"/>
      <c r="FF33" s="169"/>
      <c r="FG33" s="169"/>
      <c r="FH33" s="169"/>
      <c r="FI33" s="169"/>
      <c r="FJ33" s="169"/>
      <c r="FK33" s="181"/>
      <c r="FL33" s="169"/>
      <c r="FM33" s="169"/>
      <c r="FN33" s="33"/>
      <c r="FO33" s="33"/>
      <c r="FP33" s="33"/>
      <c r="FQ33" s="137"/>
      <c r="FR33" s="33"/>
      <c r="FS33" s="33"/>
      <c r="FT33" s="33"/>
      <c r="FU33" s="33"/>
      <c r="FV33" s="33"/>
      <c r="FW33" s="74"/>
      <c r="FX33" s="33"/>
      <c r="FY33" s="33"/>
      <c r="FZ33" s="33"/>
      <c r="GA33" s="33"/>
      <c r="GB33" s="33"/>
      <c r="GC33" s="34"/>
      <c r="GD33" s="167"/>
      <c r="GE33" s="168"/>
      <c r="GF33" s="168"/>
      <c r="GG33" s="168"/>
      <c r="GH33" s="169"/>
      <c r="GI33" s="170"/>
      <c r="GJ33" s="169"/>
      <c r="GK33" s="169"/>
      <c r="GL33" s="169"/>
      <c r="GM33" s="169"/>
      <c r="GN33" s="169"/>
      <c r="GO33" s="171"/>
      <c r="GP33" s="169"/>
      <c r="GQ33" s="169"/>
      <c r="GR33" s="169"/>
      <c r="GS33" s="169"/>
      <c r="GT33" s="169"/>
      <c r="GU33" s="181"/>
      <c r="GV33" s="169"/>
      <c r="GW33" s="169"/>
      <c r="GX33" s="169"/>
      <c r="GY33" s="169"/>
      <c r="GZ33" s="169"/>
      <c r="HA33" s="171"/>
      <c r="HB33" s="169"/>
      <c r="HC33" s="169"/>
      <c r="HD33" s="169"/>
      <c r="HE33" s="169"/>
      <c r="HF33" s="169"/>
      <c r="HG33" s="181"/>
      <c r="HH33" s="168"/>
      <c r="HI33" s="168"/>
      <c r="HJ33" s="168"/>
      <c r="HK33" s="168"/>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32"/>
      <c r="RS33" s="64"/>
      <c r="RT33" s="64"/>
      <c r="RU33" s="64"/>
      <c r="RV33" s="33"/>
      <c r="RW33" s="132"/>
      <c r="RX33" s="33"/>
      <c r="RY33" s="33"/>
      <c r="RZ33" s="33"/>
      <c r="SA33" s="33"/>
      <c r="SB33" s="33"/>
      <c r="SC33" s="137"/>
      <c r="SD33" s="33"/>
      <c r="SE33" s="33"/>
      <c r="SF33" s="33"/>
      <c r="SG33" s="33"/>
      <c r="SH33" s="33"/>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165"/>
      <c r="BHG33" s="166"/>
      <c r="BHH33" s="166"/>
      <c r="BHI33" s="166"/>
      <c r="BHJ33" s="166"/>
      <c r="BHK33" s="166"/>
      <c r="BHL33" s="166"/>
      <c r="BHM33" s="166"/>
      <c r="BHN33" s="166"/>
      <c r="BHO33" s="166"/>
      <c r="BHP33" s="166"/>
      <c r="BHQ33" s="166"/>
      <c r="BHR33" s="166"/>
      <c r="BHS33" s="166"/>
      <c r="BHT33" s="166"/>
      <c r="BHU33" s="166"/>
      <c r="BHV33" s="166"/>
      <c r="BHW33" s="166"/>
      <c r="BHX33" s="166"/>
      <c r="BHY33" s="166"/>
      <c r="BHZ33" s="166"/>
      <c r="BIA33" s="166"/>
      <c r="BIB33" s="166"/>
      <c r="BIC33" s="166"/>
      <c r="BID33" s="166"/>
      <c r="BIE33" s="166"/>
      <c r="BIF33" s="166"/>
      <c r="BIG33" s="166"/>
      <c r="BIH33" s="166"/>
      <c r="BII33" s="166"/>
      <c r="BIJ33" s="166"/>
      <c r="BIK33" s="166"/>
      <c r="BIL33" s="166"/>
      <c r="BIM33" s="166"/>
      <c r="BIN33" s="166"/>
      <c r="BIO33" s="166"/>
      <c r="BIP33" s="166"/>
      <c r="BIQ33" s="166"/>
      <c r="BIR33" s="166"/>
      <c r="BIS33" s="166"/>
      <c r="BIT33" s="166"/>
      <c r="BIU33" s="166"/>
      <c r="BIV33" s="166"/>
      <c r="BIW33" s="166"/>
      <c r="BIX33" s="166"/>
      <c r="BIY33" s="166"/>
      <c r="BIZ33" s="166"/>
      <c r="BJA33" s="166"/>
      <c r="BJB33" s="166"/>
      <c r="BJC33" s="166"/>
      <c r="BJD33" s="166"/>
      <c r="BJE33" s="166"/>
      <c r="BJF33" s="166"/>
      <c r="BJG33" s="166"/>
      <c r="BJH33" s="166"/>
      <c r="BJI33" s="166"/>
      <c r="BJJ33" s="166"/>
      <c r="BJK33" s="166"/>
      <c r="BJL33" s="166"/>
      <c r="BJM33" s="166"/>
      <c r="BJN33" s="166"/>
      <c r="BJO33" s="166"/>
      <c r="BJP33" s="166"/>
      <c r="BJQ33" s="166"/>
      <c r="BJR33" s="166"/>
      <c r="BJS33" s="166"/>
      <c r="BJT33" s="166"/>
      <c r="BJU33" s="166"/>
      <c r="BJV33" s="166"/>
      <c r="BJW33" s="166"/>
      <c r="BJX33" s="166"/>
      <c r="BJY33" s="166"/>
      <c r="BJZ33" s="166"/>
      <c r="BKA33" s="166"/>
      <c r="BKB33" s="166"/>
      <c r="BKC33" s="166"/>
      <c r="BKD33" s="166"/>
      <c r="BKE33" s="166"/>
      <c r="BKF33" s="166"/>
      <c r="BKG33" s="166"/>
      <c r="BKH33" s="166"/>
      <c r="BKI33" s="166"/>
      <c r="BKJ33" s="166"/>
      <c r="BKK33" s="166"/>
      <c r="BKL33" s="166"/>
      <c r="BKM33" s="166"/>
      <c r="BKN33" s="166"/>
      <c r="BKO33" s="166"/>
      <c r="BKP33" s="166"/>
      <c r="BKQ33" s="166"/>
      <c r="BKR33" s="166"/>
      <c r="BKS33" s="166"/>
      <c r="BKT33" s="166"/>
      <c r="BKU33" s="166"/>
      <c r="BKV33" s="166"/>
      <c r="BKW33" s="166"/>
      <c r="BKX33" s="166"/>
      <c r="BKY33" s="166"/>
      <c r="BKZ33" s="166"/>
      <c r="BLA33" s="166"/>
      <c r="BLB33" s="166"/>
      <c r="BLC33" s="166"/>
      <c r="BLD33" s="166"/>
      <c r="BLE33" s="166"/>
      <c r="BLF33" s="166"/>
      <c r="BLG33" s="166"/>
      <c r="BLH33" s="166"/>
      <c r="BLI33" s="166"/>
      <c r="BLJ33" s="166"/>
      <c r="BLK33" s="166"/>
      <c r="BLL33" s="166"/>
      <c r="BLM33" s="166"/>
      <c r="BLN33" s="166"/>
      <c r="BLO33" s="166"/>
      <c r="BLP33" s="166"/>
      <c r="BLQ33" s="166"/>
      <c r="BLR33" s="166"/>
      <c r="BLS33" s="166"/>
      <c r="BLT33" s="166"/>
      <c r="BLU33" s="166"/>
      <c r="BLV33" s="166"/>
      <c r="BLW33" s="166"/>
      <c r="BLX33" s="166"/>
      <c r="BLY33" s="166"/>
      <c r="BLZ33" s="166"/>
      <c r="BMA33" s="166"/>
      <c r="BMB33" s="166"/>
      <c r="BMC33" s="166"/>
      <c r="BMD33" s="166"/>
      <c r="BME33" s="166"/>
      <c r="BMF33" s="166"/>
      <c r="BMG33" s="166"/>
      <c r="BMH33" s="166"/>
      <c r="BMI33" s="166"/>
      <c r="BMJ33" s="166"/>
      <c r="BMK33" s="166"/>
      <c r="BML33" s="166"/>
      <c r="BMM33" s="166"/>
      <c r="BMN33" s="166"/>
      <c r="BMO33" s="166"/>
      <c r="BMP33" s="166"/>
      <c r="BMQ33" s="166"/>
      <c r="BMR33" s="166"/>
      <c r="BMS33" s="166"/>
      <c r="BMT33" s="166"/>
      <c r="BMU33" s="166"/>
      <c r="BMV33" s="166"/>
      <c r="BMW33" s="166"/>
      <c r="BMX33" s="166"/>
      <c r="BMY33" s="166"/>
      <c r="BMZ33" s="166"/>
      <c r="BNA33" s="166"/>
      <c r="BNB33" s="166"/>
      <c r="BNC33" s="166"/>
      <c r="BND33" s="166"/>
      <c r="BNE33" s="166"/>
      <c r="BNF33" s="166"/>
      <c r="BNG33" s="166"/>
      <c r="BNH33" s="166"/>
      <c r="BNI33" s="166"/>
      <c r="BNJ33" s="166"/>
      <c r="BNK33" s="166"/>
      <c r="BNL33" s="166"/>
      <c r="BNM33" s="166"/>
      <c r="BNN33" s="166"/>
      <c r="BNO33" s="166"/>
      <c r="BNP33" s="166"/>
      <c r="BNQ33" s="166"/>
      <c r="BNR33" s="166"/>
      <c r="BNS33" s="166"/>
      <c r="BNT33" s="166"/>
      <c r="BNU33" s="166"/>
      <c r="BNV33" s="166"/>
      <c r="BNW33" s="166"/>
      <c r="BNX33" s="166"/>
      <c r="BNY33" s="166"/>
      <c r="BNZ33" s="166"/>
      <c r="BOA33" s="166"/>
      <c r="BOB33" s="166"/>
      <c r="BOC33" s="166"/>
      <c r="BOD33" s="166"/>
      <c r="BOE33" s="166"/>
      <c r="BOF33" s="166"/>
      <c r="BOG33" s="166"/>
      <c r="BOH33" s="166"/>
      <c r="BOI33" s="166"/>
      <c r="BOJ33" s="166"/>
      <c r="BOK33" s="166"/>
      <c r="BOL33" s="166"/>
      <c r="BOM33" s="166"/>
      <c r="BON33" s="166"/>
      <c r="BOO33" s="166"/>
      <c r="BOP33" s="166"/>
      <c r="BOQ33" s="166"/>
      <c r="BOR33" s="166"/>
      <c r="BOS33" s="166"/>
      <c r="BOT33" s="166"/>
      <c r="BOU33" s="166"/>
      <c r="BOV33" s="166"/>
      <c r="BOW33" s="166"/>
      <c r="BOX33" s="166"/>
      <c r="BOY33" s="166"/>
      <c r="BOZ33" s="166"/>
      <c r="BPA33" s="166"/>
      <c r="BPB33" s="166"/>
      <c r="BPC33" s="166"/>
      <c r="BPD33" s="166"/>
      <c r="BPE33" s="166"/>
      <c r="BPF33" s="166"/>
      <c r="BPG33" s="166"/>
      <c r="BPH33" s="166"/>
      <c r="BPI33" s="166"/>
      <c r="BPJ33" s="166"/>
      <c r="BPK33" s="166"/>
      <c r="BPL33" s="166"/>
      <c r="BPM33" s="166"/>
      <c r="BPN33" s="166"/>
      <c r="BPO33" s="166"/>
      <c r="BPP33" s="166"/>
      <c r="BPQ33" s="166"/>
      <c r="BPR33" s="166"/>
      <c r="BPS33" s="166"/>
      <c r="BPT33" s="166"/>
      <c r="BPU33" s="166"/>
      <c r="BPV33" s="166"/>
      <c r="BPW33" s="166"/>
      <c r="BPX33" s="166"/>
      <c r="BPY33" s="166"/>
      <c r="BPZ33" s="166"/>
      <c r="BQA33" s="166"/>
      <c r="BQB33" s="166"/>
      <c r="BQC33" s="166"/>
      <c r="BQD33" s="166"/>
      <c r="BQE33" s="166"/>
      <c r="BQF33" s="166"/>
      <c r="BQG33" s="166"/>
      <c r="BQH33" s="166"/>
      <c r="BQI33" s="166"/>
      <c r="BQJ33" s="166"/>
      <c r="BQK33" s="166"/>
      <c r="BQL33" s="166"/>
      <c r="BQM33" s="166"/>
      <c r="BQN33" s="166"/>
      <c r="BQO33" s="166"/>
      <c r="BQP33" s="166"/>
      <c r="BQQ33" s="166"/>
      <c r="BQR33" s="166"/>
      <c r="BQS33" s="166"/>
      <c r="BQT33" s="166"/>
      <c r="BQU33" s="166"/>
      <c r="BQV33" s="166"/>
      <c r="BQW33" s="166"/>
      <c r="BQX33" s="166"/>
      <c r="BQY33" s="166"/>
      <c r="BQZ33" s="166"/>
      <c r="BRA33" s="166"/>
      <c r="BRB33" s="166"/>
      <c r="BRC33" s="166"/>
      <c r="BRD33" s="166"/>
      <c r="BRE33" s="166"/>
      <c r="BRF33" s="166"/>
      <c r="BRG33" s="166"/>
      <c r="BRH33" s="166"/>
      <c r="BRI33" s="166"/>
      <c r="BRJ33" s="166"/>
      <c r="BRK33" s="166"/>
      <c r="BRL33" s="166"/>
      <c r="BRM33" s="166"/>
      <c r="BRN33" s="166"/>
      <c r="BRO33" s="166"/>
      <c r="BRP33" s="166"/>
      <c r="BRQ33" s="166"/>
      <c r="BRR33" s="166"/>
      <c r="BRS33" s="166"/>
      <c r="BRT33" s="166"/>
      <c r="BRU33" s="166"/>
      <c r="BRV33" s="166"/>
      <c r="BRW33" s="166"/>
      <c r="BRX33" s="166"/>
      <c r="BRY33" s="166"/>
      <c r="BRZ33" s="166"/>
      <c r="BSA33" s="166"/>
      <c r="BSB33" s="166"/>
      <c r="BSC33" s="166"/>
      <c r="BSD33" s="166"/>
      <c r="BSE33" s="166"/>
      <c r="BSF33" s="166"/>
      <c r="BSG33" s="166"/>
      <c r="BSH33" s="166"/>
      <c r="BSI33" s="166"/>
      <c r="BSJ33" s="166"/>
      <c r="BSK33" s="166"/>
      <c r="BSL33" s="166"/>
      <c r="BSM33" s="166"/>
      <c r="BSN33" s="166"/>
      <c r="BSO33" s="166"/>
      <c r="BSP33" s="166"/>
      <c r="BSQ33" s="166"/>
      <c r="BSR33" s="166"/>
      <c r="BSS33" s="166"/>
    </row>
    <row r="34" spans="1:1865" ht="20.100000000000001" customHeight="1" x14ac:dyDescent="0.3">
      <c r="A34" s="100" t="s">
        <v>21</v>
      </c>
      <c r="B34" s="63" t="str">
        <f>IF(LEN(C53)=0,"",C53)</f>
        <v/>
      </c>
      <c r="C34" s="208"/>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165"/>
      <c r="BHG34" s="166"/>
      <c r="BHH34" s="166"/>
      <c r="BHI34" s="166"/>
      <c r="BHJ34" s="166"/>
      <c r="BHK34" s="166"/>
      <c r="BHL34" s="166"/>
      <c r="BHM34" s="166"/>
      <c r="BHN34" s="166"/>
      <c r="BHO34" s="166"/>
      <c r="BHP34" s="166"/>
      <c r="BHQ34" s="166"/>
      <c r="BHR34" s="166"/>
      <c r="BHS34" s="166"/>
      <c r="BHT34" s="166"/>
      <c r="BHU34" s="166"/>
      <c r="BHV34" s="166"/>
      <c r="BHW34" s="166"/>
      <c r="BHX34" s="166"/>
      <c r="BHY34" s="166"/>
      <c r="BHZ34" s="166"/>
      <c r="BIA34" s="166"/>
      <c r="BIB34" s="166"/>
      <c r="BIC34" s="166"/>
      <c r="BID34" s="166"/>
      <c r="BIE34" s="166"/>
      <c r="BIF34" s="166"/>
      <c r="BIG34" s="166"/>
      <c r="BIH34" s="166"/>
      <c r="BII34" s="166"/>
      <c r="BIJ34" s="166"/>
      <c r="BIK34" s="166"/>
      <c r="BIL34" s="166"/>
      <c r="BIM34" s="166"/>
      <c r="BIN34" s="166"/>
      <c r="BIO34" s="166"/>
      <c r="BIP34" s="166"/>
      <c r="BIQ34" s="166"/>
      <c r="BIR34" s="166"/>
      <c r="BIS34" s="166"/>
      <c r="BIT34" s="166"/>
      <c r="BIU34" s="166"/>
      <c r="BIV34" s="166"/>
      <c r="BIW34" s="166"/>
      <c r="BIX34" s="166"/>
      <c r="BIY34" s="166"/>
      <c r="BIZ34" s="166"/>
      <c r="BJA34" s="166"/>
      <c r="BJB34" s="166"/>
      <c r="BJC34" s="166"/>
      <c r="BJD34" s="166"/>
      <c r="BJE34" s="166"/>
      <c r="BJF34" s="166"/>
      <c r="BJG34" s="166"/>
      <c r="BJH34" s="166"/>
      <c r="BJI34" s="166"/>
      <c r="BJJ34" s="166"/>
      <c r="BJK34" s="166"/>
      <c r="BJL34" s="166"/>
      <c r="BJM34" s="166"/>
      <c r="BJN34" s="166"/>
      <c r="BJO34" s="166"/>
      <c r="BJP34" s="166"/>
      <c r="BJQ34" s="166"/>
      <c r="BJR34" s="166"/>
      <c r="BJS34" s="166"/>
      <c r="BJT34" s="166"/>
      <c r="BJU34" s="166"/>
      <c r="BJV34" s="166"/>
      <c r="BJW34" s="166"/>
      <c r="BJX34" s="166"/>
      <c r="BJY34" s="166"/>
      <c r="BJZ34" s="166"/>
      <c r="BKA34" s="166"/>
      <c r="BKB34" s="166"/>
      <c r="BKC34" s="166"/>
      <c r="BKD34" s="166"/>
      <c r="BKE34" s="166"/>
      <c r="BKF34" s="166"/>
      <c r="BKG34" s="166"/>
      <c r="BKH34" s="166"/>
      <c r="BKI34" s="166"/>
      <c r="BKJ34" s="166"/>
      <c r="BKK34" s="166"/>
      <c r="BKL34" s="166"/>
      <c r="BKM34" s="166"/>
      <c r="BKN34" s="166"/>
      <c r="BKO34" s="166"/>
      <c r="BKP34" s="166"/>
      <c r="BKQ34" s="166"/>
      <c r="BKR34" s="166"/>
      <c r="BKS34" s="166"/>
      <c r="BKT34" s="166"/>
      <c r="BKU34" s="166"/>
      <c r="BKV34" s="166"/>
      <c r="BKW34" s="166"/>
      <c r="BKX34" s="166"/>
      <c r="BKY34" s="166"/>
      <c r="BKZ34" s="166"/>
      <c r="BLA34" s="166"/>
      <c r="BLB34" s="166"/>
      <c r="BLC34" s="166"/>
      <c r="BLD34" s="166"/>
      <c r="BLE34" s="166"/>
      <c r="BLF34" s="166"/>
      <c r="BLG34" s="166"/>
      <c r="BLH34" s="166"/>
      <c r="BLI34" s="166"/>
      <c r="BLJ34" s="166"/>
      <c r="BLK34" s="166"/>
      <c r="BLL34" s="166"/>
      <c r="BLM34" s="166"/>
      <c r="BLN34" s="166"/>
      <c r="BLO34" s="166"/>
      <c r="BLP34" s="166"/>
      <c r="BLQ34" s="166"/>
      <c r="BLR34" s="166"/>
      <c r="BLS34" s="166"/>
      <c r="BLT34" s="166"/>
      <c r="BLU34" s="166"/>
      <c r="BLV34" s="166"/>
      <c r="BLW34" s="166"/>
      <c r="BLX34" s="166"/>
      <c r="BLY34" s="166"/>
      <c r="BLZ34" s="166"/>
      <c r="BMA34" s="166"/>
      <c r="BMB34" s="166"/>
      <c r="BMC34" s="166"/>
      <c r="BMD34" s="166"/>
      <c r="BME34" s="166"/>
      <c r="BMF34" s="166"/>
      <c r="BMG34" s="166"/>
      <c r="BMH34" s="166"/>
      <c r="BMI34" s="166"/>
      <c r="BMJ34" s="166"/>
      <c r="BMK34" s="166"/>
      <c r="BML34" s="166"/>
      <c r="BMM34" s="166"/>
      <c r="BMN34" s="166"/>
      <c r="BMO34" s="166"/>
      <c r="BMP34" s="166"/>
      <c r="BMQ34" s="166"/>
      <c r="BMR34" s="166"/>
      <c r="BMS34" s="166"/>
      <c r="BMT34" s="166"/>
      <c r="BMU34" s="166"/>
      <c r="BMV34" s="166"/>
      <c r="BMW34" s="166"/>
      <c r="BMX34" s="166"/>
      <c r="BMY34" s="166"/>
      <c r="BMZ34" s="166"/>
      <c r="BNA34" s="166"/>
      <c r="BNB34" s="166"/>
      <c r="BNC34" s="166"/>
      <c r="BND34" s="166"/>
      <c r="BNE34" s="166"/>
      <c r="BNF34" s="166"/>
      <c r="BNG34" s="166"/>
      <c r="BNH34" s="166"/>
      <c r="BNI34" s="166"/>
      <c r="BNJ34" s="166"/>
      <c r="BNK34" s="166"/>
      <c r="BNL34" s="166"/>
      <c r="BNM34" s="166"/>
      <c r="BNN34" s="166"/>
      <c r="BNO34" s="166"/>
      <c r="BNP34" s="166"/>
      <c r="BNQ34" s="166"/>
      <c r="BNR34" s="166"/>
      <c r="BNS34" s="166"/>
      <c r="BNT34" s="166"/>
      <c r="BNU34" s="166"/>
      <c r="BNV34" s="166"/>
      <c r="BNW34" s="166"/>
      <c r="BNX34" s="166"/>
      <c r="BNY34" s="166"/>
      <c r="BNZ34" s="166"/>
      <c r="BOA34" s="166"/>
      <c r="BOB34" s="166"/>
      <c r="BOC34" s="166"/>
      <c r="BOD34" s="166"/>
      <c r="BOE34" s="166"/>
      <c r="BOF34" s="166"/>
      <c r="BOG34" s="166"/>
      <c r="BOH34" s="166"/>
      <c r="BOI34" s="166"/>
      <c r="BOJ34" s="166"/>
      <c r="BOK34" s="166"/>
      <c r="BOL34" s="166"/>
      <c r="BOM34" s="166"/>
      <c r="BON34" s="166"/>
      <c r="BOO34" s="166"/>
      <c r="BOP34" s="166"/>
      <c r="BOQ34" s="166"/>
      <c r="BOR34" s="166"/>
      <c r="BOS34" s="166"/>
      <c r="BOT34" s="166"/>
      <c r="BOU34" s="166"/>
      <c r="BOV34" s="166"/>
      <c r="BOW34" s="166"/>
      <c r="BOX34" s="166"/>
      <c r="BOY34" s="166"/>
      <c r="BOZ34" s="166"/>
      <c r="BPA34" s="166"/>
      <c r="BPB34" s="166"/>
      <c r="BPC34" s="166"/>
      <c r="BPD34" s="166"/>
      <c r="BPE34" s="166"/>
      <c r="BPF34" s="166"/>
      <c r="BPG34" s="166"/>
      <c r="BPH34" s="166"/>
      <c r="BPI34" s="166"/>
      <c r="BPJ34" s="166"/>
      <c r="BPK34" s="166"/>
      <c r="BPL34" s="166"/>
      <c r="BPM34" s="166"/>
      <c r="BPN34" s="166"/>
      <c r="BPO34" s="166"/>
      <c r="BPP34" s="166"/>
      <c r="BPQ34" s="166"/>
      <c r="BPR34" s="166"/>
      <c r="BPS34" s="166"/>
      <c r="BPT34" s="166"/>
      <c r="BPU34" s="166"/>
      <c r="BPV34" s="166"/>
      <c r="BPW34" s="166"/>
      <c r="BPX34" s="166"/>
      <c r="BPY34" s="166"/>
      <c r="BPZ34" s="166"/>
      <c r="BQA34" s="166"/>
      <c r="BQB34" s="166"/>
      <c r="BQC34" s="166"/>
      <c r="BQD34" s="166"/>
      <c r="BQE34" s="166"/>
      <c r="BQF34" s="166"/>
      <c r="BQG34" s="166"/>
      <c r="BQH34" s="166"/>
      <c r="BQI34" s="166"/>
      <c r="BQJ34" s="166"/>
      <c r="BQK34" s="166"/>
      <c r="BQL34" s="166"/>
      <c r="BQM34" s="166"/>
      <c r="BQN34" s="166"/>
      <c r="BQO34" s="166"/>
      <c r="BQP34" s="166"/>
      <c r="BQQ34" s="166"/>
      <c r="BQR34" s="166"/>
      <c r="BQS34" s="166"/>
      <c r="BQT34" s="166"/>
      <c r="BQU34" s="166"/>
      <c r="BQV34" s="166"/>
      <c r="BQW34" s="166"/>
      <c r="BQX34" s="166"/>
      <c r="BQY34" s="166"/>
      <c r="BQZ34" s="166"/>
      <c r="BRA34" s="166"/>
      <c r="BRB34" s="166"/>
      <c r="BRC34" s="166"/>
      <c r="BRD34" s="166"/>
      <c r="BRE34" s="166"/>
      <c r="BRF34" s="166"/>
      <c r="BRG34" s="166"/>
      <c r="BRH34" s="166"/>
      <c r="BRI34" s="166"/>
      <c r="BRJ34" s="166"/>
      <c r="BRK34" s="166"/>
      <c r="BRL34" s="166"/>
      <c r="BRM34" s="166"/>
      <c r="BRN34" s="166"/>
      <c r="BRO34" s="166"/>
      <c r="BRP34" s="166"/>
      <c r="BRQ34" s="166"/>
      <c r="BRR34" s="166"/>
      <c r="BRS34" s="166"/>
      <c r="BRT34" s="166"/>
      <c r="BRU34" s="166"/>
      <c r="BRV34" s="166"/>
      <c r="BRW34" s="166"/>
      <c r="BRX34" s="166"/>
      <c r="BRY34" s="166"/>
      <c r="BRZ34" s="166"/>
      <c r="BSA34" s="166"/>
      <c r="BSB34" s="166"/>
      <c r="BSC34" s="166"/>
      <c r="BSD34" s="166"/>
      <c r="BSE34" s="166"/>
      <c r="BSF34" s="166"/>
      <c r="BSG34" s="166"/>
      <c r="BSH34" s="166"/>
      <c r="BSI34" s="166"/>
      <c r="BSJ34" s="166"/>
      <c r="BSK34" s="166"/>
      <c r="BSL34" s="166"/>
      <c r="BSM34" s="166"/>
      <c r="BSN34" s="166"/>
      <c r="BSO34" s="166"/>
      <c r="BSP34" s="166"/>
      <c r="BSQ34" s="166"/>
      <c r="BSR34" s="166"/>
      <c r="BSS34" s="166"/>
    </row>
    <row r="35" spans="1:1865" ht="20.100000000000001" customHeight="1" x14ac:dyDescent="0.25">
      <c r="A35" s="100" t="s">
        <v>20</v>
      </c>
      <c r="B35" s="63" t="str">
        <f>IF(LEN(C55)=0,"",C55)</f>
        <v/>
      </c>
      <c r="C35" s="207" t="s">
        <v>94</v>
      </c>
      <c r="D35" s="146" t="str">
        <f t="shared" si="0"/>
        <v>4h10min</v>
      </c>
      <c r="E35" s="39">
        <v>50</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175"/>
      <c r="IM35" s="176"/>
      <c r="IN35" s="176"/>
      <c r="IO35" s="176"/>
      <c r="IP35" s="177"/>
      <c r="IQ35" s="178"/>
      <c r="IR35" s="177"/>
      <c r="IS35" s="177"/>
      <c r="IT35" s="177"/>
      <c r="IU35" s="177"/>
      <c r="IV35" s="177"/>
      <c r="IW35" s="179"/>
      <c r="IX35" s="177"/>
      <c r="IY35" s="177"/>
      <c r="IZ35" s="177"/>
      <c r="JA35" s="177"/>
      <c r="JB35" s="177"/>
      <c r="JC35" s="180"/>
      <c r="JD35" s="177"/>
      <c r="JE35" s="177"/>
      <c r="JF35" s="177"/>
      <c r="JG35" s="177"/>
      <c r="JH35" s="177"/>
      <c r="JI35" s="179"/>
      <c r="JJ35" s="177"/>
      <c r="JK35" s="177"/>
      <c r="JL35" s="177"/>
      <c r="JM35" s="177"/>
      <c r="JN35" s="177"/>
      <c r="JO35" s="180"/>
      <c r="JP35" s="176"/>
      <c r="JQ35" s="176"/>
      <c r="JR35" s="176"/>
      <c r="JS35" s="17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175"/>
      <c r="KU35" s="176"/>
      <c r="KV35" s="176"/>
      <c r="KW35" s="176"/>
      <c r="KX35" s="177"/>
      <c r="KY35" s="178"/>
      <c r="KZ35" s="177"/>
      <c r="LA35" s="177"/>
      <c r="LB35" s="177"/>
      <c r="LC35" s="177"/>
      <c r="LD35" s="177"/>
      <c r="LE35" s="179"/>
      <c r="LF35" s="177"/>
      <c r="LG35" s="177"/>
      <c r="LH35" s="177"/>
      <c r="LI35" s="177"/>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165"/>
      <c r="BHG35" s="166"/>
      <c r="BHH35" s="166"/>
      <c r="BHI35" s="166"/>
      <c r="BHJ35" s="166"/>
      <c r="BHK35" s="166"/>
      <c r="BHL35" s="166"/>
      <c r="BHM35" s="166"/>
      <c r="BHN35" s="166"/>
      <c r="BHO35" s="166"/>
      <c r="BHP35" s="166"/>
      <c r="BHQ35" s="166"/>
      <c r="BHR35" s="166"/>
      <c r="BHS35" s="166"/>
      <c r="BHT35" s="166"/>
      <c r="BHU35" s="166"/>
      <c r="BHV35" s="166"/>
      <c r="BHW35" s="166"/>
      <c r="BHX35" s="166"/>
      <c r="BHY35" s="166"/>
      <c r="BHZ35" s="166"/>
      <c r="BIA35" s="166"/>
      <c r="BIB35" s="166"/>
      <c r="BIC35" s="166"/>
      <c r="BID35" s="166"/>
      <c r="BIE35" s="166"/>
      <c r="BIF35" s="166"/>
      <c r="BIG35" s="166"/>
      <c r="BIH35" s="166"/>
      <c r="BII35" s="166"/>
      <c r="BIJ35" s="166"/>
      <c r="BIK35" s="166"/>
      <c r="BIL35" s="166"/>
      <c r="BIM35" s="166"/>
      <c r="BIN35" s="166"/>
      <c r="BIO35" s="166"/>
      <c r="BIP35" s="166"/>
      <c r="BIQ35" s="166"/>
      <c r="BIR35" s="166"/>
      <c r="BIS35" s="166"/>
      <c r="BIT35" s="166"/>
      <c r="BIU35" s="166"/>
      <c r="BIV35" s="166"/>
      <c r="BIW35" s="166"/>
      <c r="BIX35" s="166"/>
      <c r="BIY35" s="166"/>
      <c r="BIZ35" s="166"/>
      <c r="BJA35" s="166"/>
      <c r="BJB35" s="166"/>
      <c r="BJC35" s="166"/>
      <c r="BJD35" s="166"/>
      <c r="BJE35" s="166"/>
      <c r="BJF35" s="166"/>
      <c r="BJG35" s="166"/>
      <c r="BJH35" s="166"/>
      <c r="BJI35" s="166"/>
      <c r="BJJ35" s="166"/>
      <c r="BJK35" s="166"/>
      <c r="BJL35" s="166"/>
      <c r="BJM35" s="166"/>
      <c r="BJN35" s="166"/>
      <c r="BJO35" s="166"/>
      <c r="BJP35" s="166"/>
      <c r="BJQ35" s="166"/>
      <c r="BJR35" s="166"/>
      <c r="BJS35" s="166"/>
      <c r="BJT35" s="166"/>
      <c r="BJU35" s="166"/>
      <c r="BJV35" s="166"/>
      <c r="BJW35" s="166"/>
      <c r="BJX35" s="166"/>
      <c r="BJY35" s="166"/>
      <c r="BJZ35" s="166"/>
      <c r="BKA35" s="166"/>
      <c r="BKB35" s="166"/>
      <c r="BKC35" s="166"/>
      <c r="BKD35" s="166"/>
      <c r="BKE35" s="166"/>
      <c r="BKF35" s="166"/>
      <c r="BKG35" s="166"/>
      <c r="BKH35" s="166"/>
      <c r="BKI35" s="166"/>
      <c r="BKJ35" s="166"/>
      <c r="BKK35" s="166"/>
      <c r="BKL35" s="166"/>
      <c r="BKM35" s="166"/>
      <c r="BKN35" s="166"/>
      <c r="BKO35" s="166"/>
      <c r="BKP35" s="166"/>
      <c r="BKQ35" s="166"/>
      <c r="BKR35" s="166"/>
      <c r="BKS35" s="166"/>
      <c r="BKT35" s="166"/>
      <c r="BKU35" s="166"/>
      <c r="BKV35" s="166"/>
      <c r="BKW35" s="166"/>
      <c r="BKX35" s="166"/>
      <c r="BKY35" s="166"/>
      <c r="BKZ35" s="166"/>
      <c r="BLA35" s="166"/>
      <c r="BLB35" s="166"/>
      <c r="BLC35" s="166"/>
      <c r="BLD35" s="166"/>
      <c r="BLE35" s="166"/>
      <c r="BLF35" s="166"/>
      <c r="BLG35" s="166"/>
      <c r="BLH35" s="166"/>
      <c r="BLI35" s="166"/>
      <c r="BLJ35" s="166"/>
      <c r="BLK35" s="166"/>
      <c r="BLL35" s="166"/>
      <c r="BLM35" s="166"/>
      <c r="BLN35" s="166"/>
      <c r="BLO35" s="166"/>
      <c r="BLP35" s="166"/>
      <c r="BLQ35" s="166"/>
      <c r="BLR35" s="166"/>
      <c r="BLS35" s="166"/>
      <c r="BLT35" s="166"/>
      <c r="BLU35" s="166"/>
      <c r="BLV35" s="166"/>
      <c r="BLW35" s="166"/>
      <c r="BLX35" s="166"/>
      <c r="BLY35" s="166"/>
      <c r="BLZ35" s="166"/>
      <c r="BMA35" s="166"/>
      <c r="BMB35" s="166"/>
      <c r="BMC35" s="166"/>
      <c r="BMD35" s="166"/>
      <c r="BME35" s="166"/>
      <c r="BMF35" s="166"/>
      <c r="BMG35" s="166"/>
      <c r="BMH35" s="166"/>
      <c r="BMI35" s="166"/>
      <c r="BMJ35" s="166"/>
      <c r="BMK35" s="166"/>
      <c r="BML35" s="166"/>
      <c r="BMM35" s="166"/>
      <c r="BMN35" s="166"/>
      <c r="BMO35" s="166"/>
      <c r="BMP35" s="166"/>
      <c r="BMQ35" s="166"/>
      <c r="BMR35" s="166"/>
      <c r="BMS35" s="166"/>
      <c r="BMT35" s="166"/>
      <c r="BMU35" s="166"/>
      <c r="BMV35" s="166"/>
      <c r="BMW35" s="166"/>
      <c r="BMX35" s="166"/>
      <c r="BMY35" s="166"/>
      <c r="BMZ35" s="166"/>
      <c r="BNA35" s="166"/>
      <c r="BNB35" s="166"/>
      <c r="BNC35" s="166"/>
      <c r="BND35" s="166"/>
      <c r="BNE35" s="166"/>
      <c r="BNF35" s="166"/>
      <c r="BNG35" s="166"/>
      <c r="BNH35" s="166"/>
      <c r="BNI35" s="166"/>
      <c r="BNJ35" s="166"/>
      <c r="BNK35" s="166"/>
      <c r="BNL35" s="166"/>
      <c r="BNM35" s="166"/>
      <c r="BNN35" s="166"/>
      <c r="BNO35" s="166"/>
      <c r="BNP35" s="166"/>
      <c r="BNQ35" s="166"/>
      <c r="BNR35" s="166"/>
      <c r="BNS35" s="166"/>
      <c r="BNT35" s="166"/>
      <c r="BNU35" s="166"/>
      <c r="BNV35" s="166"/>
      <c r="BNW35" s="166"/>
      <c r="BNX35" s="166"/>
      <c r="BNY35" s="166"/>
      <c r="BNZ35" s="166"/>
      <c r="BOA35" s="166"/>
      <c r="BOB35" s="166"/>
      <c r="BOC35" s="166"/>
      <c r="BOD35" s="166"/>
      <c r="BOE35" s="166"/>
      <c r="BOF35" s="166"/>
      <c r="BOG35" s="166"/>
      <c r="BOH35" s="166"/>
      <c r="BOI35" s="166"/>
      <c r="BOJ35" s="166"/>
      <c r="BOK35" s="166"/>
      <c r="BOL35" s="166"/>
      <c r="BOM35" s="166"/>
      <c r="BON35" s="166"/>
      <c r="BOO35" s="166"/>
      <c r="BOP35" s="166"/>
      <c r="BOQ35" s="166"/>
      <c r="BOR35" s="166"/>
      <c r="BOS35" s="166"/>
      <c r="BOT35" s="166"/>
      <c r="BOU35" s="166"/>
      <c r="BOV35" s="166"/>
      <c r="BOW35" s="166"/>
      <c r="BOX35" s="166"/>
      <c r="BOY35" s="166"/>
      <c r="BOZ35" s="166"/>
      <c r="BPA35" s="166"/>
      <c r="BPB35" s="166"/>
      <c r="BPC35" s="166"/>
      <c r="BPD35" s="166"/>
      <c r="BPE35" s="166"/>
      <c r="BPF35" s="166"/>
      <c r="BPG35" s="166"/>
      <c r="BPH35" s="166"/>
      <c r="BPI35" s="166"/>
      <c r="BPJ35" s="166"/>
      <c r="BPK35" s="166"/>
      <c r="BPL35" s="166"/>
      <c r="BPM35" s="166"/>
      <c r="BPN35" s="166"/>
      <c r="BPO35" s="166"/>
      <c r="BPP35" s="166"/>
      <c r="BPQ35" s="166"/>
      <c r="BPR35" s="166"/>
      <c r="BPS35" s="166"/>
      <c r="BPT35" s="166"/>
      <c r="BPU35" s="166"/>
      <c r="BPV35" s="166"/>
      <c r="BPW35" s="166"/>
      <c r="BPX35" s="166"/>
      <c r="BPY35" s="166"/>
      <c r="BPZ35" s="166"/>
      <c r="BQA35" s="166"/>
      <c r="BQB35" s="166"/>
      <c r="BQC35" s="166"/>
      <c r="BQD35" s="166"/>
      <c r="BQE35" s="166"/>
      <c r="BQF35" s="166"/>
      <c r="BQG35" s="166"/>
      <c r="BQH35" s="166"/>
      <c r="BQI35" s="166"/>
      <c r="BQJ35" s="166"/>
      <c r="BQK35" s="166"/>
      <c r="BQL35" s="166"/>
      <c r="BQM35" s="166"/>
      <c r="BQN35" s="166"/>
      <c r="BQO35" s="166"/>
      <c r="BQP35" s="166"/>
      <c r="BQQ35" s="166"/>
      <c r="BQR35" s="166"/>
      <c r="BQS35" s="166"/>
      <c r="BQT35" s="166"/>
      <c r="BQU35" s="166"/>
      <c r="BQV35" s="166"/>
      <c r="BQW35" s="166"/>
      <c r="BQX35" s="166"/>
      <c r="BQY35" s="166"/>
      <c r="BQZ35" s="166"/>
      <c r="BRA35" s="166"/>
      <c r="BRB35" s="166"/>
      <c r="BRC35" s="166"/>
      <c r="BRD35" s="166"/>
      <c r="BRE35" s="166"/>
      <c r="BRF35" s="166"/>
      <c r="BRG35" s="166"/>
      <c r="BRH35" s="166"/>
      <c r="BRI35" s="166"/>
      <c r="BRJ35" s="166"/>
      <c r="BRK35" s="166"/>
      <c r="BRL35" s="166"/>
      <c r="BRM35" s="166"/>
      <c r="BRN35" s="166"/>
      <c r="BRO35" s="166"/>
      <c r="BRP35" s="166"/>
      <c r="BRQ35" s="166"/>
      <c r="BRR35" s="166"/>
      <c r="BRS35" s="166"/>
      <c r="BRT35" s="166"/>
      <c r="BRU35" s="166"/>
      <c r="BRV35" s="166"/>
      <c r="BRW35" s="166"/>
      <c r="BRX35" s="166"/>
      <c r="BRY35" s="166"/>
      <c r="BRZ35" s="166"/>
      <c r="BSA35" s="166"/>
      <c r="BSB35" s="166"/>
      <c r="BSC35" s="166"/>
      <c r="BSD35" s="166"/>
      <c r="BSE35" s="166"/>
      <c r="BSF35" s="166"/>
      <c r="BSG35" s="166"/>
      <c r="BSH35" s="166"/>
      <c r="BSI35" s="166"/>
      <c r="BSJ35" s="166"/>
      <c r="BSK35" s="166"/>
      <c r="BSL35" s="166"/>
      <c r="BSM35" s="166"/>
      <c r="BSN35" s="166"/>
      <c r="BSO35" s="166"/>
      <c r="BSP35" s="166"/>
      <c r="BSQ35" s="166"/>
      <c r="BSR35" s="166"/>
      <c r="BSS35" s="166"/>
    </row>
    <row r="36" spans="1:1865" ht="20.100000000000001" customHeight="1" x14ac:dyDescent="0.25">
      <c r="A36" s="100" t="s">
        <v>21</v>
      </c>
      <c r="B36" s="63" t="str">
        <f>IF(LEN(C57)=0,"",C57)</f>
        <v/>
      </c>
      <c r="C36" s="208"/>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165"/>
      <c r="BHG36" s="166"/>
      <c r="BHH36" s="166"/>
      <c r="BHI36" s="166"/>
      <c r="BHJ36" s="166"/>
      <c r="BHK36" s="166"/>
      <c r="BHL36" s="166"/>
      <c r="BHM36" s="166"/>
      <c r="BHN36" s="166"/>
      <c r="BHO36" s="166"/>
      <c r="BHP36" s="166"/>
      <c r="BHQ36" s="166"/>
      <c r="BHR36" s="166"/>
      <c r="BHS36" s="166"/>
      <c r="BHT36" s="166"/>
      <c r="BHU36" s="166"/>
      <c r="BHV36" s="166"/>
      <c r="BHW36" s="166"/>
      <c r="BHX36" s="166"/>
      <c r="BHY36" s="166"/>
      <c r="BHZ36" s="166"/>
      <c r="BIA36" s="166"/>
      <c r="BIB36" s="166"/>
      <c r="BIC36" s="166"/>
      <c r="BID36" s="166"/>
      <c r="BIE36" s="166"/>
      <c r="BIF36" s="166"/>
      <c r="BIG36" s="166"/>
      <c r="BIH36" s="166"/>
      <c r="BII36" s="166"/>
      <c r="BIJ36" s="166"/>
      <c r="BIK36" s="166"/>
      <c r="BIL36" s="166"/>
      <c r="BIM36" s="166"/>
      <c r="BIN36" s="166"/>
      <c r="BIO36" s="166"/>
      <c r="BIP36" s="166"/>
      <c r="BIQ36" s="166"/>
      <c r="BIR36" s="166"/>
      <c r="BIS36" s="166"/>
      <c r="BIT36" s="166"/>
      <c r="BIU36" s="166"/>
      <c r="BIV36" s="166"/>
      <c r="BIW36" s="166"/>
      <c r="BIX36" s="166"/>
      <c r="BIY36" s="166"/>
      <c r="BIZ36" s="166"/>
      <c r="BJA36" s="166"/>
      <c r="BJB36" s="166"/>
      <c r="BJC36" s="166"/>
      <c r="BJD36" s="166"/>
      <c r="BJE36" s="166"/>
      <c r="BJF36" s="166"/>
      <c r="BJG36" s="166"/>
      <c r="BJH36" s="166"/>
      <c r="BJI36" s="166"/>
      <c r="BJJ36" s="166"/>
      <c r="BJK36" s="166"/>
      <c r="BJL36" s="166"/>
      <c r="BJM36" s="166"/>
      <c r="BJN36" s="166"/>
      <c r="BJO36" s="166"/>
      <c r="BJP36" s="166"/>
      <c r="BJQ36" s="166"/>
      <c r="BJR36" s="166"/>
      <c r="BJS36" s="166"/>
      <c r="BJT36" s="166"/>
      <c r="BJU36" s="166"/>
      <c r="BJV36" s="166"/>
      <c r="BJW36" s="166"/>
      <c r="BJX36" s="166"/>
      <c r="BJY36" s="166"/>
      <c r="BJZ36" s="166"/>
      <c r="BKA36" s="166"/>
      <c r="BKB36" s="166"/>
      <c r="BKC36" s="166"/>
      <c r="BKD36" s="166"/>
      <c r="BKE36" s="166"/>
      <c r="BKF36" s="166"/>
      <c r="BKG36" s="166"/>
      <c r="BKH36" s="166"/>
      <c r="BKI36" s="166"/>
      <c r="BKJ36" s="166"/>
      <c r="BKK36" s="166"/>
      <c r="BKL36" s="166"/>
      <c r="BKM36" s="166"/>
      <c r="BKN36" s="166"/>
      <c r="BKO36" s="166"/>
      <c r="BKP36" s="166"/>
      <c r="BKQ36" s="166"/>
      <c r="BKR36" s="166"/>
      <c r="BKS36" s="166"/>
      <c r="BKT36" s="166"/>
      <c r="BKU36" s="166"/>
      <c r="BKV36" s="166"/>
      <c r="BKW36" s="166"/>
      <c r="BKX36" s="166"/>
      <c r="BKY36" s="166"/>
      <c r="BKZ36" s="166"/>
      <c r="BLA36" s="166"/>
      <c r="BLB36" s="166"/>
      <c r="BLC36" s="166"/>
      <c r="BLD36" s="166"/>
      <c r="BLE36" s="166"/>
      <c r="BLF36" s="166"/>
      <c r="BLG36" s="166"/>
      <c r="BLH36" s="166"/>
      <c r="BLI36" s="166"/>
      <c r="BLJ36" s="166"/>
      <c r="BLK36" s="166"/>
      <c r="BLL36" s="166"/>
      <c r="BLM36" s="166"/>
      <c r="BLN36" s="166"/>
      <c r="BLO36" s="166"/>
      <c r="BLP36" s="166"/>
      <c r="BLQ36" s="166"/>
      <c r="BLR36" s="166"/>
      <c r="BLS36" s="166"/>
      <c r="BLT36" s="166"/>
      <c r="BLU36" s="166"/>
      <c r="BLV36" s="166"/>
      <c r="BLW36" s="166"/>
      <c r="BLX36" s="166"/>
      <c r="BLY36" s="166"/>
      <c r="BLZ36" s="166"/>
      <c r="BMA36" s="166"/>
      <c r="BMB36" s="166"/>
      <c r="BMC36" s="166"/>
      <c r="BMD36" s="166"/>
      <c r="BME36" s="166"/>
      <c r="BMF36" s="166"/>
      <c r="BMG36" s="166"/>
      <c r="BMH36" s="166"/>
      <c r="BMI36" s="166"/>
      <c r="BMJ36" s="166"/>
      <c r="BMK36" s="166"/>
      <c r="BML36" s="166"/>
      <c r="BMM36" s="166"/>
      <c r="BMN36" s="166"/>
      <c r="BMO36" s="166"/>
      <c r="BMP36" s="166"/>
      <c r="BMQ36" s="166"/>
      <c r="BMR36" s="166"/>
      <c r="BMS36" s="166"/>
      <c r="BMT36" s="166"/>
      <c r="BMU36" s="166"/>
      <c r="BMV36" s="166"/>
      <c r="BMW36" s="166"/>
      <c r="BMX36" s="166"/>
      <c r="BMY36" s="166"/>
      <c r="BMZ36" s="166"/>
      <c r="BNA36" s="166"/>
      <c r="BNB36" s="166"/>
      <c r="BNC36" s="166"/>
      <c r="BND36" s="166"/>
      <c r="BNE36" s="166"/>
      <c r="BNF36" s="166"/>
      <c r="BNG36" s="166"/>
      <c r="BNH36" s="166"/>
      <c r="BNI36" s="166"/>
      <c r="BNJ36" s="166"/>
      <c r="BNK36" s="166"/>
      <c r="BNL36" s="166"/>
      <c r="BNM36" s="166"/>
      <c r="BNN36" s="166"/>
      <c r="BNO36" s="166"/>
      <c r="BNP36" s="166"/>
      <c r="BNQ36" s="166"/>
      <c r="BNR36" s="166"/>
      <c r="BNS36" s="166"/>
      <c r="BNT36" s="166"/>
      <c r="BNU36" s="166"/>
      <c r="BNV36" s="166"/>
      <c r="BNW36" s="166"/>
      <c r="BNX36" s="166"/>
      <c r="BNY36" s="166"/>
      <c r="BNZ36" s="166"/>
      <c r="BOA36" s="166"/>
      <c r="BOB36" s="166"/>
      <c r="BOC36" s="166"/>
      <c r="BOD36" s="166"/>
      <c r="BOE36" s="166"/>
      <c r="BOF36" s="166"/>
      <c r="BOG36" s="166"/>
      <c r="BOH36" s="166"/>
      <c r="BOI36" s="166"/>
      <c r="BOJ36" s="166"/>
      <c r="BOK36" s="166"/>
      <c r="BOL36" s="166"/>
      <c r="BOM36" s="166"/>
      <c r="BON36" s="166"/>
      <c r="BOO36" s="166"/>
      <c r="BOP36" s="166"/>
      <c r="BOQ36" s="166"/>
      <c r="BOR36" s="166"/>
      <c r="BOS36" s="166"/>
      <c r="BOT36" s="166"/>
      <c r="BOU36" s="166"/>
      <c r="BOV36" s="166"/>
      <c r="BOW36" s="166"/>
      <c r="BOX36" s="166"/>
      <c r="BOY36" s="166"/>
      <c r="BOZ36" s="166"/>
      <c r="BPA36" s="166"/>
      <c r="BPB36" s="166"/>
      <c r="BPC36" s="166"/>
      <c r="BPD36" s="166"/>
      <c r="BPE36" s="166"/>
      <c r="BPF36" s="166"/>
      <c r="BPG36" s="166"/>
      <c r="BPH36" s="166"/>
      <c r="BPI36" s="166"/>
      <c r="BPJ36" s="166"/>
      <c r="BPK36" s="166"/>
      <c r="BPL36" s="166"/>
      <c r="BPM36" s="166"/>
      <c r="BPN36" s="166"/>
      <c r="BPO36" s="166"/>
      <c r="BPP36" s="166"/>
      <c r="BPQ36" s="166"/>
      <c r="BPR36" s="166"/>
      <c r="BPS36" s="166"/>
      <c r="BPT36" s="166"/>
      <c r="BPU36" s="166"/>
      <c r="BPV36" s="166"/>
      <c r="BPW36" s="166"/>
      <c r="BPX36" s="166"/>
      <c r="BPY36" s="166"/>
      <c r="BPZ36" s="166"/>
      <c r="BQA36" s="166"/>
      <c r="BQB36" s="166"/>
      <c r="BQC36" s="166"/>
      <c r="BQD36" s="166"/>
      <c r="BQE36" s="166"/>
      <c r="BQF36" s="166"/>
      <c r="BQG36" s="166"/>
      <c r="BQH36" s="166"/>
      <c r="BQI36" s="166"/>
      <c r="BQJ36" s="166"/>
      <c r="BQK36" s="166"/>
      <c r="BQL36" s="166"/>
      <c r="BQM36" s="166"/>
      <c r="BQN36" s="166"/>
      <c r="BQO36" s="166"/>
      <c r="BQP36" s="166"/>
      <c r="BQQ36" s="166"/>
      <c r="BQR36" s="166"/>
      <c r="BQS36" s="166"/>
      <c r="BQT36" s="166"/>
      <c r="BQU36" s="166"/>
      <c r="BQV36" s="166"/>
      <c r="BQW36" s="166"/>
      <c r="BQX36" s="166"/>
      <c r="BQY36" s="166"/>
      <c r="BQZ36" s="166"/>
      <c r="BRA36" s="166"/>
      <c r="BRB36" s="166"/>
      <c r="BRC36" s="166"/>
      <c r="BRD36" s="166"/>
      <c r="BRE36" s="166"/>
      <c r="BRF36" s="166"/>
      <c r="BRG36" s="166"/>
      <c r="BRH36" s="166"/>
      <c r="BRI36" s="166"/>
      <c r="BRJ36" s="166"/>
      <c r="BRK36" s="166"/>
      <c r="BRL36" s="166"/>
      <c r="BRM36" s="166"/>
      <c r="BRN36" s="166"/>
      <c r="BRO36" s="166"/>
      <c r="BRP36" s="166"/>
      <c r="BRQ36" s="166"/>
      <c r="BRR36" s="166"/>
      <c r="BRS36" s="166"/>
      <c r="BRT36" s="166"/>
      <c r="BRU36" s="166"/>
      <c r="BRV36" s="166"/>
      <c r="BRW36" s="166"/>
      <c r="BRX36" s="166"/>
      <c r="BRY36" s="166"/>
      <c r="BRZ36" s="166"/>
      <c r="BSA36" s="166"/>
      <c r="BSB36" s="166"/>
      <c r="BSC36" s="166"/>
      <c r="BSD36" s="166"/>
      <c r="BSE36" s="166"/>
      <c r="BSF36" s="166"/>
      <c r="BSG36" s="166"/>
      <c r="BSH36" s="166"/>
      <c r="BSI36" s="166"/>
      <c r="BSJ36" s="166"/>
      <c r="BSK36" s="166"/>
      <c r="BSL36" s="166"/>
      <c r="BSM36" s="166"/>
      <c r="BSN36" s="166"/>
      <c r="BSO36" s="166"/>
      <c r="BSP36" s="166"/>
      <c r="BSQ36" s="166"/>
      <c r="BSR36" s="166"/>
      <c r="BSS36" s="166"/>
    </row>
    <row r="37" spans="1:1865" ht="20.100000000000001" customHeight="1" x14ac:dyDescent="0.25">
      <c r="A37" s="100" t="s">
        <v>20</v>
      </c>
      <c r="B37" s="63" t="str">
        <f>IF(LEN(C59)=0,"",C59)</f>
        <v/>
      </c>
      <c r="C37" s="207" t="s">
        <v>95</v>
      </c>
      <c r="D37" s="146" t="str">
        <f t="shared" si="0"/>
        <v>8h</v>
      </c>
      <c r="E37" s="31">
        <v>96</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169"/>
      <c r="LK37" s="181"/>
      <c r="LL37" s="169"/>
      <c r="LM37" s="169"/>
      <c r="LN37" s="169"/>
      <c r="LO37" s="169"/>
      <c r="LP37" s="169"/>
      <c r="LQ37" s="171"/>
      <c r="LR37" s="169"/>
      <c r="LS37" s="169"/>
      <c r="LT37" s="169"/>
      <c r="LU37" s="169"/>
      <c r="LV37" s="169"/>
      <c r="LW37" s="181"/>
      <c r="LX37" s="168"/>
      <c r="LY37" s="168"/>
      <c r="LZ37" s="168"/>
      <c r="MA37" s="168"/>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167"/>
      <c r="NC37" s="168"/>
      <c r="ND37" s="168"/>
      <c r="NE37" s="168"/>
      <c r="NF37" s="169"/>
      <c r="NG37" s="170"/>
      <c r="NH37" s="169"/>
      <c r="NI37" s="169"/>
      <c r="NJ37" s="169"/>
      <c r="NK37" s="169"/>
      <c r="NL37" s="169"/>
      <c r="NM37" s="171"/>
      <c r="NN37" s="169"/>
      <c r="NO37" s="169"/>
      <c r="NP37" s="169"/>
      <c r="NQ37" s="169"/>
      <c r="NR37" s="169"/>
      <c r="NS37" s="181"/>
      <c r="NT37" s="169"/>
      <c r="NU37" s="169"/>
      <c r="NV37" s="169"/>
      <c r="NW37" s="169"/>
      <c r="NX37" s="169"/>
      <c r="NY37" s="171"/>
      <c r="NZ37" s="169"/>
      <c r="OA37" s="169"/>
      <c r="OB37" s="169"/>
      <c r="OC37" s="169"/>
      <c r="OD37" s="169"/>
      <c r="OE37" s="181"/>
      <c r="OF37" s="168"/>
      <c r="OG37" s="168"/>
      <c r="OH37" s="168"/>
      <c r="OI37" s="168"/>
      <c r="OJ37" s="169"/>
      <c r="OK37" s="171"/>
      <c r="OL37" s="169"/>
      <c r="OM37" s="169"/>
      <c r="ON37" s="169"/>
      <c r="OO37" s="169"/>
      <c r="OP37" s="169"/>
      <c r="OQ37" s="181"/>
      <c r="OR37" s="169"/>
      <c r="OS37" s="169"/>
      <c r="OT37" s="33"/>
      <c r="OU37" s="33"/>
      <c r="OV37" s="33"/>
      <c r="OW37" s="137"/>
      <c r="OX37" s="33"/>
      <c r="OY37" s="33"/>
      <c r="OZ37" s="33"/>
      <c r="PA37" s="33"/>
      <c r="PB37" s="33"/>
      <c r="PC37" s="74"/>
      <c r="PD37" s="33"/>
      <c r="PE37" s="33"/>
      <c r="PF37" s="33"/>
      <c r="PG37" s="33"/>
      <c r="PH37" s="33"/>
      <c r="PI37" s="34"/>
      <c r="PJ37" s="167"/>
      <c r="PK37" s="168"/>
      <c r="PL37" s="168"/>
      <c r="PM37" s="168"/>
      <c r="PN37" s="169"/>
      <c r="PO37" s="170"/>
      <c r="PP37" s="169"/>
      <c r="PQ37" s="169"/>
      <c r="PR37" s="169"/>
      <c r="PS37" s="169"/>
      <c r="PT37" s="169"/>
      <c r="PU37" s="171"/>
      <c r="PV37" s="169"/>
      <c r="PW37" s="169"/>
      <c r="PX37" s="169"/>
      <c r="PY37" s="169"/>
      <c r="PZ37" s="169"/>
      <c r="QA37" s="181"/>
      <c r="QB37" s="169"/>
      <c r="QC37" s="169"/>
      <c r="QD37" s="169"/>
      <c r="QE37" s="169"/>
      <c r="QF37" s="169"/>
      <c r="QG37" s="171"/>
      <c r="QH37" s="169"/>
      <c r="QI37" s="169"/>
      <c r="QJ37" s="169"/>
      <c r="QK37" s="169"/>
      <c r="QL37" s="169"/>
      <c r="QM37" s="181"/>
      <c r="QN37" s="168"/>
      <c r="QO37" s="168"/>
      <c r="QP37" s="168"/>
      <c r="QQ37" s="168"/>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165"/>
      <c r="BHG37" s="166"/>
      <c r="BHH37" s="166"/>
      <c r="BHI37" s="166"/>
      <c r="BHJ37" s="166"/>
      <c r="BHK37" s="166"/>
      <c r="BHL37" s="166"/>
      <c r="BHM37" s="166"/>
      <c r="BHN37" s="166"/>
      <c r="BHO37" s="166"/>
      <c r="BHP37" s="166"/>
      <c r="BHQ37" s="166"/>
      <c r="BHR37" s="166"/>
      <c r="BHS37" s="166"/>
      <c r="BHT37" s="166"/>
      <c r="BHU37" s="166"/>
      <c r="BHV37" s="166"/>
      <c r="BHW37" s="166"/>
      <c r="BHX37" s="166"/>
      <c r="BHY37" s="166"/>
      <c r="BHZ37" s="166"/>
      <c r="BIA37" s="166"/>
      <c r="BIB37" s="166"/>
      <c r="BIC37" s="166"/>
      <c r="BID37" s="166"/>
      <c r="BIE37" s="166"/>
      <c r="BIF37" s="166"/>
      <c r="BIG37" s="166"/>
      <c r="BIH37" s="166"/>
      <c r="BII37" s="166"/>
      <c r="BIJ37" s="166"/>
      <c r="BIK37" s="166"/>
      <c r="BIL37" s="166"/>
      <c r="BIM37" s="166"/>
      <c r="BIN37" s="166"/>
      <c r="BIO37" s="166"/>
      <c r="BIP37" s="166"/>
      <c r="BIQ37" s="166"/>
      <c r="BIR37" s="166"/>
      <c r="BIS37" s="166"/>
      <c r="BIT37" s="166"/>
      <c r="BIU37" s="166"/>
      <c r="BIV37" s="166"/>
      <c r="BIW37" s="166"/>
      <c r="BIX37" s="166"/>
      <c r="BIY37" s="166"/>
      <c r="BIZ37" s="166"/>
      <c r="BJA37" s="166"/>
      <c r="BJB37" s="166"/>
      <c r="BJC37" s="166"/>
      <c r="BJD37" s="166"/>
      <c r="BJE37" s="166"/>
      <c r="BJF37" s="166"/>
      <c r="BJG37" s="166"/>
      <c r="BJH37" s="166"/>
      <c r="BJI37" s="166"/>
      <c r="BJJ37" s="166"/>
      <c r="BJK37" s="166"/>
      <c r="BJL37" s="166"/>
      <c r="BJM37" s="166"/>
      <c r="BJN37" s="166"/>
      <c r="BJO37" s="166"/>
      <c r="BJP37" s="166"/>
      <c r="BJQ37" s="166"/>
      <c r="BJR37" s="166"/>
      <c r="BJS37" s="166"/>
      <c r="BJT37" s="166"/>
      <c r="BJU37" s="166"/>
      <c r="BJV37" s="166"/>
      <c r="BJW37" s="166"/>
      <c r="BJX37" s="166"/>
      <c r="BJY37" s="166"/>
      <c r="BJZ37" s="166"/>
      <c r="BKA37" s="166"/>
      <c r="BKB37" s="166"/>
      <c r="BKC37" s="166"/>
      <c r="BKD37" s="166"/>
      <c r="BKE37" s="166"/>
      <c r="BKF37" s="166"/>
      <c r="BKG37" s="166"/>
      <c r="BKH37" s="166"/>
      <c r="BKI37" s="166"/>
      <c r="BKJ37" s="166"/>
      <c r="BKK37" s="166"/>
      <c r="BKL37" s="166"/>
      <c r="BKM37" s="166"/>
      <c r="BKN37" s="166"/>
      <c r="BKO37" s="166"/>
      <c r="BKP37" s="166"/>
      <c r="BKQ37" s="166"/>
      <c r="BKR37" s="166"/>
      <c r="BKS37" s="166"/>
      <c r="BKT37" s="166"/>
      <c r="BKU37" s="166"/>
      <c r="BKV37" s="166"/>
      <c r="BKW37" s="166"/>
      <c r="BKX37" s="166"/>
      <c r="BKY37" s="166"/>
      <c r="BKZ37" s="166"/>
      <c r="BLA37" s="166"/>
      <c r="BLB37" s="166"/>
      <c r="BLC37" s="166"/>
      <c r="BLD37" s="166"/>
      <c r="BLE37" s="166"/>
      <c r="BLF37" s="166"/>
      <c r="BLG37" s="166"/>
      <c r="BLH37" s="166"/>
      <c r="BLI37" s="166"/>
      <c r="BLJ37" s="166"/>
      <c r="BLK37" s="166"/>
      <c r="BLL37" s="166"/>
      <c r="BLM37" s="166"/>
      <c r="BLN37" s="166"/>
      <c r="BLO37" s="166"/>
      <c r="BLP37" s="166"/>
      <c r="BLQ37" s="166"/>
      <c r="BLR37" s="166"/>
      <c r="BLS37" s="166"/>
      <c r="BLT37" s="166"/>
      <c r="BLU37" s="166"/>
      <c r="BLV37" s="166"/>
      <c r="BLW37" s="166"/>
      <c r="BLX37" s="166"/>
      <c r="BLY37" s="166"/>
      <c r="BLZ37" s="166"/>
      <c r="BMA37" s="166"/>
      <c r="BMB37" s="166"/>
      <c r="BMC37" s="166"/>
      <c r="BMD37" s="166"/>
      <c r="BME37" s="166"/>
      <c r="BMF37" s="166"/>
      <c r="BMG37" s="166"/>
      <c r="BMH37" s="166"/>
      <c r="BMI37" s="166"/>
      <c r="BMJ37" s="166"/>
      <c r="BMK37" s="166"/>
      <c r="BML37" s="166"/>
      <c r="BMM37" s="166"/>
      <c r="BMN37" s="166"/>
      <c r="BMO37" s="166"/>
      <c r="BMP37" s="166"/>
      <c r="BMQ37" s="166"/>
      <c r="BMR37" s="166"/>
      <c r="BMS37" s="166"/>
      <c r="BMT37" s="166"/>
      <c r="BMU37" s="166"/>
      <c r="BMV37" s="166"/>
      <c r="BMW37" s="166"/>
      <c r="BMX37" s="166"/>
      <c r="BMY37" s="166"/>
      <c r="BMZ37" s="166"/>
      <c r="BNA37" s="166"/>
      <c r="BNB37" s="166"/>
      <c r="BNC37" s="166"/>
      <c r="BND37" s="166"/>
      <c r="BNE37" s="166"/>
      <c r="BNF37" s="166"/>
      <c r="BNG37" s="166"/>
      <c r="BNH37" s="166"/>
      <c r="BNI37" s="166"/>
      <c r="BNJ37" s="166"/>
      <c r="BNK37" s="166"/>
      <c r="BNL37" s="166"/>
      <c r="BNM37" s="166"/>
      <c r="BNN37" s="166"/>
      <c r="BNO37" s="166"/>
      <c r="BNP37" s="166"/>
      <c r="BNQ37" s="166"/>
      <c r="BNR37" s="166"/>
      <c r="BNS37" s="166"/>
      <c r="BNT37" s="166"/>
      <c r="BNU37" s="166"/>
      <c r="BNV37" s="166"/>
      <c r="BNW37" s="166"/>
      <c r="BNX37" s="166"/>
      <c r="BNY37" s="166"/>
      <c r="BNZ37" s="166"/>
      <c r="BOA37" s="166"/>
      <c r="BOB37" s="166"/>
      <c r="BOC37" s="166"/>
      <c r="BOD37" s="166"/>
      <c r="BOE37" s="166"/>
      <c r="BOF37" s="166"/>
      <c r="BOG37" s="166"/>
      <c r="BOH37" s="166"/>
      <c r="BOI37" s="166"/>
      <c r="BOJ37" s="166"/>
      <c r="BOK37" s="166"/>
      <c r="BOL37" s="166"/>
      <c r="BOM37" s="166"/>
      <c r="BON37" s="166"/>
      <c r="BOO37" s="166"/>
      <c r="BOP37" s="166"/>
      <c r="BOQ37" s="166"/>
      <c r="BOR37" s="166"/>
      <c r="BOS37" s="166"/>
      <c r="BOT37" s="166"/>
      <c r="BOU37" s="166"/>
      <c r="BOV37" s="166"/>
      <c r="BOW37" s="166"/>
      <c r="BOX37" s="166"/>
      <c r="BOY37" s="166"/>
      <c r="BOZ37" s="166"/>
      <c r="BPA37" s="166"/>
      <c r="BPB37" s="166"/>
      <c r="BPC37" s="166"/>
      <c r="BPD37" s="166"/>
      <c r="BPE37" s="166"/>
      <c r="BPF37" s="166"/>
      <c r="BPG37" s="166"/>
      <c r="BPH37" s="166"/>
      <c r="BPI37" s="166"/>
      <c r="BPJ37" s="166"/>
      <c r="BPK37" s="166"/>
      <c r="BPL37" s="166"/>
      <c r="BPM37" s="166"/>
      <c r="BPN37" s="166"/>
      <c r="BPO37" s="166"/>
      <c r="BPP37" s="166"/>
      <c r="BPQ37" s="166"/>
      <c r="BPR37" s="166"/>
      <c r="BPS37" s="166"/>
      <c r="BPT37" s="166"/>
      <c r="BPU37" s="166"/>
      <c r="BPV37" s="166"/>
      <c r="BPW37" s="166"/>
      <c r="BPX37" s="166"/>
      <c r="BPY37" s="166"/>
      <c r="BPZ37" s="166"/>
      <c r="BQA37" s="166"/>
      <c r="BQB37" s="166"/>
      <c r="BQC37" s="166"/>
      <c r="BQD37" s="166"/>
      <c r="BQE37" s="166"/>
      <c r="BQF37" s="166"/>
      <c r="BQG37" s="166"/>
      <c r="BQH37" s="166"/>
      <c r="BQI37" s="166"/>
      <c r="BQJ37" s="166"/>
      <c r="BQK37" s="166"/>
      <c r="BQL37" s="166"/>
      <c r="BQM37" s="166"/>
      <c r="BQN37" s="166"/>
      <c r="BQO37" s="166"/>
      <c r="BQP37" s="166"/>
      <c r="BQQ37" s="166"/>
      <c r="BQR37" s="166"/>
      <c r="BQS37" s="166"/>
      <c r="BQT37" s="166"/>
      <c r="BQU37" s="166"/>
      <c r="BQV37" s="166"/>
      <c r="BQW37" s="166"/>
      <c r="BQX37" s="166"/>
      <c r="BQY37" s="166"/>
      <c r="BQZ37" s="166"/>
      <c r="BRA37" s="166"/>
      <c r="BRB37" s="166"/>
      <c r="BRC37" s="166"/>
      <c r="BRD37" s="166"/>
      <c r="BRE37" s="166"/>
      <c r="BRF37" s="166"/>
      <c r="BRG37" s="166"/>
      <c r="BRH37" s="166"/>
      <c r="BRI37" s="166"/>
      <c r="BRJ37" s="166"/>
      <c r="BRK37" s="166"/>
      <c r="BRL37" s="166"/>
      <c r="BRM37" s="166"/>
      <c r="BRN37" s="166"/>
      <c r="BRO37" s="166"/>
      <c r="BRP37" s="166"/>
      <c r="BRQ37" s="166"/>
      <c r="BRR37" s="166"/>
      <c r="BRS37" s="166"/>
      <c r="BRT37" s="166"/>
      <c r="BRU37" s="166"/>
      <c r="BRV37" s="166"/>
      <c r="BRW37" s="166"/>
      <c r="BRX37" s="166"/>
      <c r="BRY37" s="166"/>
      <c r="BRZ37" s="166"/>
      <c r="BSA37" s="166"/>
      <c r="BSB37" s="166"/>
      <c r="BSC37" s="166"/>
      <c r="BSD37" s="166"/>
      <c r="BSE37" s="166"/>
      <c r="BSF37" s="166"/>
      <c r="BSG37" s="166"/>
      <c r="BSH37" s="166"/>
      <c r="BSI37" s="166"/>
      <c r="BSJ37" s="166"/>
      <c r="BSK37" s="166"/>
      <c r="BSL37" s="166"/>
      <c r="BSM37" s="166"/>
      <c r="BSN37" s="166"/>
      <c r="BSO37" s="166"/>
      <c r="BSP37" s="166"/>
      <c r="BSQ37" s="166"/>
      <c r="BSR37" s="166"/>
      <c r="BSS37" s="166"/>
    </row>
    <row r="38" spans="1:1865" ht="20.100000000000001" customHeight="1" x14ac:dyDescent="0.3">
      <c r="A38" s="100" t="s">
        <v>21</v>
      </c>
      <c r="B38" s="63" t="str">
        <f>IF(LEN(C61)=0,"",C61)</f>
        <v/>
      </c>
      <c r="C38" s="208"/>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165"/>
      <c r="BHG38" s="166"/>
      <c r="BHH38" s="166"/>
      <c r="BHI38" s="166"/>
      <c r="BHJ38" s="166"/>
      <c r="BHK38" s="166"/>
      <c r="BHL38" s="166"/>
      <c r="BHM38" s="166"/>
      <c r="BHN38" s="166"/>
      <c r="BHO38" s="166"/>
      <c r="BHP38" s="166"/>
      <c r="BHQ38" s="166"/>
      <c r="BHR38" s="166"/>
      <c r="BHS38" s="166"/>
      <c r="BHT38" s="166"/>
      <c r="BHU38" s="166"/>
      <c r="BHV38" s="166"/>
      <c r="BHW38" s="166"/>
      <c r="BHX38" s="166"/>
      <c r="BHY38" s="166"/>
      <c r="BHZ38" s="166"/>
      <c r="BIA38" s="166"/>
      <c r="BIB38" s="166"/>
      <c r="BIC38" s="166"/>
      <c r="BID38" s="166"/>
      <c r="BIE38" s="166"/>
      <c r="BIF38" s="166"/>
      <c r="BIG38" s="166"/>
      <c r="BIH38" s="166"/>
      <c r="BII38" s="166"/>
      <c r="BIJ38" s="166"/>
      <c r="BIK38" s="166"/>
      <c r="BIL38" s="166"/>
      <c r="BIM38" s="166"/>
      <c r="BIN38" s="166"/>
      <c r="BIO38" s="166"/>
      <c r="BIP38" s="166"/>
      <c r="BIQ38" s="166"/>
      <c r="BIR38" s="166"/>
      <c r="BIS38" s="166"/>
      <c r="BIT38" s="166"/>
      <c r="BIU38" s="166"/>
      <c r="BIV38" s="166"/>
      <c r="BIW38" s="166"/>
      <c r="BIX38" s="166"/>
      <c r="BIY38" s="166"/>
      <c r="BIZ38" s="166"/>
      <c r="BJA38" s="166"/>
      <c r="BJB38" s="166"/>
      <c r="BJC38" s="166"/>
      <c r="BJD38" s="166"/>
      <c r="BJE38" s="166"/>
      <c r="BJF38" s="166"/>
      <c r="BJG38" s="166"/>
      <c r="BJH38" s="166"/>
      <c r="BJI38" s="166"/>
      <c r="BJJ38" s="166"/>
      <c r="BJK38" s="166"/>
      <c r="BJL38" s="166"/>
      <c r="BJM38" s="166"/>
      <c r="BJN38" s="166"/>
      <c r="BJO38" s="166"/>
      <c r="BJP38" s="166"/>
      <c r="BJQ38" s="166"/>
      <c r="BJR38" s="166"/>
      <c r="BJS38" s="166"/>
      <c r="BJT38" s="166"/>
      <c r="BJU38" s="166"/>
      <c r="BJV38" s="166"/>
      <c r="BJW38" s="166"/>
      <c r="BJX38" s="166"/>
      <c r="BJY38" s="166"/>
      <c r="BJZ38" s="166"/>
      <c r="BKA38" s="166"/>
      <c r="BKB38" s="166"/>
      <c r="BKC38" s="166"/>
      <c r="BKD38" s="166"/>
      <c r="BKE38" s="166"/>
      <c r="BKF38" s="166"/>
      <c r="BKG38" s="166"/>
      <c r="BKH38" s="166"/>
      <c r="BKI38" s="166"/>
      <c r="BKJ38" s="166"/>
      <c r="BKK38" s="166"/>
      <c r="BKL38" s="166"/>
      <c r="BKM38" s="166"/>
      <c r="BKN38" s="166"/>
      <c r="BKO38" s="166"/>
      <c r="BKP38" s="166"/>
      <c r="BKQ38" s="166"/>
      <c r="BKR38" s="166"/>
      <c r="BKS38" s="166"/>
      <c r="BKT38" s="166"/>
      <c r="BKU38" s="166"/>
      <c r="BKV38" s="166"/>
      <c r="BKW38" s="166"/>
      <c r="BKX38" s="166"/>
      <c r="BKY38" s="166"/>
      <c r="BKZ38" s="166"/>
      <c r="BLA38" s="166"/>
      <c r="BLB38" s="166"/>
      <c r="BLC38" s="166"/>
      <c r="BLD38" s="166"/>
      <c r="BLE38" s="166"/>
      <c r="BLF38" s="166"/>
      <c r="BLG38" s="166"/>
      <c r="BLH38" s="166"/>
      <c r="BLI38" s="166"/>
      <c r="BLJ38" s="166"/>
      <c r="BLK38" s="166"/>
      <c r="BLL38" s="166"/>
      <c r="BLM38" s="166"/>
      <c r="BLN38" s="166"/>
      <c r="BLO38" s="166"/>
      <c r="BLP38" s="166"/>
      <c r="BLQ38" s="166"/>
      <c r="BLR38" s="166"/>
      <c r="BLS38" s="166"/>
      <c r="BLT38" s="166"/>
      <c r="BLU38" s="166"/>
      <c r="BLV38" s="166"/>
      <c r="BLW38" s="166"/>
      <c r="BLX38" s="166"/>
      <c r="BLY38" s="166"/>
      <c r="BLZ38" s="166"/>
      <c r="BMA38" s="166"/>
      <c r="BMB38" s="166"/>
      <c r="BMC38" s="166"/>
      <c r="BMD38" s="166"/>
      <c r="BME38" s="166"/>
      <c r="BMF38" s="166"/>
      <c r="BMG38" s="166"/>
      <c r="BMH38" s="166"/>
      <c r="BMI38" s="166"/>
      <c r="BMJ38" s="166"/>
      <c r="BMK38" s="166"/>
      <c r="BML38" s="166"/>
      <c r="BMM38" s="166"/>
      <c r="BMN38" s="166"/>
      <c r="BMO38" s="166"/>
      <c r="BMP38" s="166"/>
      <c r="BMQ38" s="166"/>
      <c r="BMR38" s="166"/>
      <c r="BMS38" s="166"/>
      <c r="BMT38" s="166"/>
      <c r="BMU38" s="166"/>
      <c r="BMV38" s="166"/>
      <c r="BMW38" s="166"/>
      <c r="BMX38" s="166"/>
      <c r="BMY38" s="166"/>
      <c r="BMZ38" s="166"/>
      <c r="BNA38" s="166"/>
      <c r="BNB38" s="166"/>
      <c r="BNC38" s="166"/>
      <c r="BND38" s="166"/>
      <c r="BNE38" s="166"/>
      <c r="BNF38" s="166"/>
      <c r="BNG38" s="166"/>
      <c r="BNH38" s="166"/>
      <c r="BNI38" s="166"/>
      <c r="BNJ38" s="166"/>
      <c r="BNK38" s="166"/>
      <c r="BNL38" s="166"/>
      <c r="BNM38" s="166"/>
      <c r="BNN38" s="166"/>
      <c r="BNO38" s="166"/>
      <c r="BNP38" s="166"/>
      <c r="BNQ38" s="166"/>
      <c r="BNR38" s="166"/>
      <c r="BNS38" s="166"/>
      <c r="BNT38" s="166"/>
      <c r="BNU38" s="166"/>
      <c r="BNV38" s="166"/>
      <c r="BNW38" s="166"/>
      <c r="BNX38" s="166"/>
      <c r="BNY38" s="166"/>
      <c r="BNZ38" s="166"/>
      <c r="BOA38" s="166"/>
      <c r="BOB38" s="166"/>
      <c r="BOC38" s="166"/>
      <c r="BOD38" s="166"/>
      <c r="BOE38" s="166"/>
      <c r="BOF38" s="166"/>
      <c r="BOG38" s="166"/>
      <c r="BOH38" s="166"/>
      <c r="BOI38" s="166"/>
      <c r="BOJ38" s="166"/>
      <c r="BOK38" s="166"/>
      <c r="BOL38" s="166"/>
      <c r="BOM38" s="166"/>
      <c r="BON38" s="166"/>
      <c r="BOO38" s="166"/>
      <c r="BOP38" s="166"/>
      <c r="BOQ38" s="166"/>
      <c r="BOR38" s="166"/>
      <c r="BOS38" s="166"/>
      <c r="BOT38" s="166"/>
      <c r="BOU38" s="166"/>
      <c r="BOV38" s="166"/>
      <c r="BOW38" s="166"/>
      <c r="BOX38" s="166"/>
      <c r="BOY38" s="166"/>
      <c r="BOZ38" s="166"/>
      <c r="BPA38" s="166"/>
      <c r="BPB38" s="166"/>
      <c r="BPC38" s="166"/>
      <c r="BPD38" s="166"/>
      <c r="BPE38" s="166"/>
      <c r="BPF38" s="166"/>
      <c r="BPG38" s="166"/>
      <c r="BPH38" s="166"/>
      <c r="BPI38" s="166"/>
      <c r="BPJ38" s="166"/>
      <c r="BPK38" s="166"/>
      <c r="BPL38" s="166"/>
      <c r="BPM38" s="166"/>
      <c r="BPN38" s="166"/>
      <c r="BPO38" s="166"/>
      <c r="BPP38" s="166"/>
      <c r="BPQ38" s="166"/>
      <c r="BPR38" s="166"/>
      <c r="BPS38" s="166"/>
      <c r="BPT38" s="166"/>
      <c r="BPU38" s="166"/>
      <c r="BPV38" s="166"/>
      <c r="BPW38" s="166"/>
      <c r="BPX38" s="166"/>
      <c r="BPY38" s="166"/>
      <c r="BPZ38" s="166"/>
      <c r="BQA38" s="166"/>
      <c r="BQB38" s="166"/>
      <c r="BQC38" s="166"/>
      <c r="BQD38" s="166"/>
      <c r="BQE38" s="166"/>
      <c r="BQF38" s="166"/>
      <c r="BQG38" s="166"/>
      <c r="BQH38" s="166"/>
      <c r="BQI38" s="166"/>
      <c r="BQJ38" s="166"/>
      <c r="BQK38" s="166"/>
      <c r="BQL38" s="166"/>
      <c r="BQM38" s="166"/>
      <c r="BQN38" s="166"/>
      <c r="BQO38" s="166"/>
      <c r="BQP38" s="166"/>
      <c r="BQQ38" s="166"/>
      <c r="BQR38" s="166"/>
      <c r="BQS38" s="166"/>
      <c r="BQT38" s="166"/>
      <c r="BQU38" s="166"/>
      <c r="BQV38" s="166"/>
      <c r="BQW38" s="166"/>
      <c r="BQX38" s="166"/>
      <c r="BQY38" s="166"/>
      <c r="BQZ38" s="166"/>
      <c r="BRA38" s="166"/>
      <c r="BRB38" s="166"/>
      <c r="BRC38" s="166"/>
      <c r="BRD38" s="166"/>
      <c r="BRE38" s="166"/>
      <c r="BRF38" s="166"/>
      <c r="BRG38" s="166"/>
      <c r="BRH38" s="166"/>
      <c r="BRI38" s="166"/>
      <c r="BRJ38" s="166"/>
      <c r="BRK38" s="166"/>
      <c r="BRL38" s="166"/>
      <c r="BRM38" s="166"/>
      <c r="BRN38" s="166"/>
      <c r="BRO38" s="166"/>
      <c r="BRP38" s="166"/>
      <c r="BRQ38" s="166"/>
      <c r="BRR38" s="166"/>
      <c r="BRS38" s="166"/>
      <c r="BRT38" s="166"/>
      <c r="BRU38" s="166"/>
      <c r="BRV38" s="166"/>
      <c r="BRW38" s="166"/>
      <c r="BRX38" s="166"/>
      <c r="BRY38" s="166"/>
      <c r="BRZ38" s="166"/>
      <c r="BSA38" s="166"/>
      <c r="BSB38" s="166"/>
      <c r="BSC38" s="166"/>
      <c r="BSD38" s="166"/>
      <c r="BSE38" s="166"/>
      <c r="BSF38" s="166"/>
      <c r="BSG38" s="166"/>
      <c r="BSH38" s="166"/>
      <c r="BSI38" s="166"/>
      <c r="BSJ38" s="166"/>
      <c r="BSK38" s="166"/>
      <c r="BSL38" s="166"/>
      <c r="BSM38" s="166"/>
      <c r="BSN38" s="166"/>
      <c r="BSO38" s="166"/>
      <c r="BSP38" s="166"/>
      <c r="BSQ38" s="166"/>
      <c r="BSR38" s="166"/>
      <c r="BSS38" s="166"/>
    </row>
    <row r="39" spans="1:1865" ht="20.100000000000001" customHeight="1" x14ac:dyDescent="0.25">
      <c r="A39" s="100" t="s">
        <v>20</v>
      </c>
      <c r="B39" s="63" t="str">
        <f>IF(LEN(C63)=0,"",C63)</f>
        <v/>
      </c>
      <c r="C39" s="207" t="s">
        <v>96</v>
      </c>
      <c r="D39" s="146" t="str">
        <f t="shared" si="0"/>
        <v>8h10min</v>
      </c>
      <c r="E39" s="39">
        <v>98</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175"/>
      <c r="RS39" s="176"/>
      <c r="RT39" s="176"/>
      <c r="RU39" s="176"/>
      <c r="RV39" s="177"/>
      <c r="RW39" s="178"/>
      <c r="RX39" s="177"/>
      <c r="RY39" s="177"/>
      <c r="RZ39" s="177"/>
      <c r="SA39" s="177"/>
      <c r="SB39" s="177"/>
      <c r="SC39" s="179"/>
      <c r="SD39" s="177"/>
      <c r="SE39" s="177"/>
      <c r="SF39" s="177"/>
      <c r="SG39" s="177"/>
      <c r="SH39" s="177"/>
      <c r="SI39" s="180"/>
      <c r="SJ39" s="177"/>
      <c r="SK39" s="177"/>
      <c r="SL39" s="177"/>
      <c r="SM39" s="177"/>
      <c r="SN39" s="177"/>
      <c r="SO39" s="179"/>
      <c r="SP39" s="177"/>
      <c r="SQ39" s="177"/>
      <c r="SR39" s="177"/>
      <c r="SS39" s="177"/>
      <c r="ST39" s="177"/>
      <c r="SU39" s="180"/>
      <c r="SV39" s="176"/>
      <c r="SW39" s="176"/>
      <c r="SX39" s="176"/>
      <c r="SY39" s="17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175"/>
      <c r="UA39" s="176"/>
      <c r="UB39" s="176"/>
      <c r="UC39" s="176"/>
      <c r="UD39" s="177"/>
      <c r="UE39" s="178"/>
      <c r="UF39" s="177"/>
      <c r="UG39" s="177"/>
      <c r="UH39" s="177"/>
      <c r="UI39" s="177"/>
      <c r="UJ39" s="177"/>
      <c r="UK39" s="179"/>
      <c r="UL39" s="177"/>
      <c r="UM39" s="177"/>
      <c r="UN39" s="177"/>
      <c r="UO39" s="177"/>
      <c r="UP39" s="177"/>
      <c r="UQ39" s="180"/>
      <c r="UR39" s="177"/>
      <c r="US39" s="177"/>
      <c r="UT39" s="177"/>
      <c r="UU39" s="177"/>
      <c r="UV39" s="177"/>
      <c r="UW39" s="179"/>
      <c r="UX39" s="177"/>
      <c r="UY39" s="177"/>
      <c r="UZ39" s="177"/>
      <c r="VA39" s="177"/>
      <c r="VB39" s="177"/>
      <c r="VC39" s="180"/>
      <c r="VD39" s="176"/>
      <c r="VE39" s="176"/>
      <c r="VF39" s="176"/>
      <c r="VG39" s="176"/>
      <c r="VH39" s="177"/>
      <c r="VI39" s="179"/>
      <c r="VJ39" s="177"/>
      <c r="VK39" s="177"/>
      <c r="VL39" s="177"/>
      <c r="VM39" s="177"/>
      <c r="VN39" s="177"/>
      <c r="VO39" s="180"/>
      <c r="VP39" s="177"/>
      <c r="VQ39" s="177"/>
      <c r="VR39" s="41"/>
      <c r="VS39" s="41"/>
      <c r="VT39" s="41"/>
      <c r="VU39" s="139"/>
      <c r="VV39" s="41"/>
      <c r="VW39" s="41"/>
      <c r="VX39" s="41"/>
      <c r="VY39" s="41"/>
      <c r="VZ39" s="41"/>
      <c r="WA39" s="76"/>
      <c r="WB39" s="41"/>
      <c r="WC39" s="41"/>
      <c r="WD39" s="41"/>
      <c r="WE39" s="41"/>
      <c r="WF39" s="41"/>
      <c r="WG39" s="42"/>
      <c r="WH39" s="175"/>
      <c r="WI39" s="176"/>
      <c r="WJ39" s="176"/>
      <c r="WK39" s="176"/>
      <c r="WL39" s="177"/>
      <c r="WM39" s="178"/>
      <c r="WN39" s="177"/>
      <c r="WO39" s="177"/>
      <c r="WP39" s="177"/>
      <c r="WQ39" s="177"/>
      <c r="WR39" s="177"/>
      <c r="WS39" s="179"/>
      <c r="WT39" s="177"/>
      <c r="WU39" s="177"/>
      <c r="WV39" s="177"/>
      <c r="WW39" s="177"/>
      <c r="WX39" s="177"/>
      <c r="WY39" s="180"/>
      <c r="WZ39" s="177"/>
      <c r="XA39" s="177"/>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165"/>
      <c r="BHG39" s="166"/>
      <c r="BHH39" s="166"/>
      <c r="BHI39" s="166"/>
      <c r="BHJ39" s="166"/>
      <c r="BHK39" s="166"/>
      <c r="BHL39" s="166"/>
      <c r="BHM39" s="166"/>
      <c r="BHN39" s="166"/>
      <c r="BHO39" s="166"/>
      <c r="BHP39" s="166"/>
      <c r="BHQ39" s="166"/>
      <c r="BHR39" s="166"/>
      <c r="BHS39" s="166"/>
      <c r="BHT39" s="166"/>
      <c r="BHU39" s="166"/>
      <c r="BHV39" s="166"/>
      <c r="BHW39" s="166"/>
      <c r="BHX39" s="166"/>
      <c r="BHY39" s="166"/>
      <c r="BHZ39" s="166"/>
      <c r="BIA39" s="166"/>
      <c r="BIB39" s="166"/>
      <c r="BIC39" s="166"/>
      <c r="BID39" s="166"/>
      <c r="BIE39" s="166"/>
      <c r="BIF39" s="166"/>
      <c r="BIG39" s="166"/>
      <c r="BIH39" s="166"/>
      <c r="BII39" s="166"/>
      <c r="BIJ39" s="166"/>
      <c r="BIK39" s="166"/>
      <c r="BIL39" s="166"/>
      <c r="BIM39" s="166"/>
      <c r="BIN39" s="166"/>
      <c r="BIO39" s="166"/>
      <c r="BIP39" s="166"/>
      <c r="BIQ39" s="166"/>
      <c r="BIR39" s="166"/>
      <c r="BIS39" s="166"/>
      <c r="BIT39" s="166"/>
      <c r="BIU39" s="166"/>
      <c r="BIV39" s="166"/>
      <c r="BIW39" s="166"/>
      <c r="BIX39" s="166"/>
      <c r="BIY39" s="166"/>
      <c r="BIZ39" s="166"/>
      <c r="BJA39" s="166"/>
      <c r="BJB39" s="166"/>
      <c r="BJC39" s="166"/>
      <c r="BJD39" s="166"/>
      <c r="BJE39" s="166"/>
      <c r="BJF39" s="166"/>
      <c r="BJG39" s="166"/>
      <c r="BJH39" s="166"/>
      <c r="BJI39" s="166"/>
      <c r="BJJ39" s="166"/>
      <c r="BJK39" s="166"/>
      <c r="BJL39" s="166"/>
      <c r="BJM39" s="166"/>
      <c r="BJN39" s="166"/>
      <c r="BJO39" s="166"/>
      <c r="BJP39" s="166"/>
      <c r="BJQ39" s="166"/>
      <c r="BJR39" s="166"/>
      <c r="BJS39" s="166"/>
      <c r="BJT39" s="166"/>
      <c r="BJU39" s="166"/>
      <c r="BJV39" s="166"/>
      <c r="BJW39" s="166"/>
      <c r="BJX39" s="166"/>
      <c r="BJY39" s="166"/>
      <c r="BJZ39" s="166"/>
      <c r="BKA39" s="166"/>
      <c r="BKB39" s="166"/>
      <c r="BKC39" s="166"/>
      <c r="BKD39" s="166"/>
      <c r="BKE39" s="166"/>
      <c r="BKF39" s="166"/>
      <c r="BKG39" s="166"/>
      <c r="BKH39" s="166"/>
      <c r="BKI39" s="166"/>
      <c r="BKJ39" s="166"/>
      <c r="BKK39" s="166"/>
      <c r="BKL39" s="166"/>
      <c r="BKM39" s="166"/>
      <c r="BKN39" s="166"/>
      <c r="BKO39" s="166"/>
      <c r="BKP39" s="166"/>
      <c r="BKQ39" s="166"/>
      <c r="BKR39" s="166"/>
      <c r="BKS39" s="166"/>
      <c r="BKT39" s="166"/>
      <c r="BKU39" s="166"/>
      <c r="BKV39" s="166"/>
      <c r="BKW39" s="166"/>
      <c r="BKX39" s="166"/>
      <c r="BKY39" s="166"/>
      <c r="BKZ39" s="166"/>
      <c r="BLA39" s="166"/>
      <c r="BLB39" s="166"/>
      <c r="BLC39" s="166"/>
      <c r="BLD39" s="166"/>
      <c r="BLE39" s="166"/>
      <c r="BLF39" s="166"/>
      <c r="BLG39" s="166"/>
      <c r="BLH39" s="166"/>
      <c r="BLI39" s="166"/>
      <c r="BLJ39" s="166"/>
      <c r="BLK39" s="166"/>
      <c r="BLL39" s="166"/>
      <c r="BLM39" s="166"/>
      <c r="BLN39" s="166"/>
      <c r="BLO39" s="166"/>
      <c r="BLP39" s="166"/>
      <c r="BLQ39" s="166"/>
      <c r="BLR39" s="166"/>
      <c r="BLS39" s="166"/>
      <c r="BLT39" s="166"/>
      <c r="BLU39" s="166"/>
      <c r="BLV39" s="166"/>
      <c r="BLW39" s="166"/>
      <c r="BLX39" s="166"/>
      <c r="BLY39" s="166"/>
      <c r="BLZ39" s="166"/>
      <c r="BMA39" s="166"/>
      <c r="BMB39" s="166"/>
      <c r="BMC39" s="166"/>
      <c r="BMD39" s="166"/>
      <c r="BME39" s="166"/>
      <c r="BMF39" s="166"/>
      <c r="BMG39" s="166"/>
      <c r="BMH39" s="166"/>
      <c r="BMI39" s="166"/>
      <c r="BMJ39" s="166"/>
      <c r="BMK39" s="166"/>
      <c r="BML39" s="166"/>
      <c r="BMM39" s="166"/>
      <c r="BMN39" s="166"/>
      <c r="BMO39" s="166"/>
      <c r="BMP39" s="166"/>
      <c r="BMQ39" s="166"/>
      <c r="BMR39" s="166"/>
      <c r="BMS39" s="166"/>
      <c r="BMT39" s="166"/>
      <c r="BMU39" s="166"/>
      <c r="BMV39" s="166"/>
      <c r="BMW39" s="166"/>
      <c r="BMX39" s="166"/>
      <c r="BMY39" s="166"/>
      <c r="BMZ39" s="166"/>
      <c r="BNA39" s="166"/>
      <c r="BNB39" s="166"/>
      <c r="BNC39" s="166"/>
      <c r="BND39" s="166"/>
      <c r="BNE39" s="166"/>
      <c r="BNF39" s="166"/>
      <c r="BNG39" s="166"/>
      <c r="BNH39" s="166"/>
      <c r="BNI39" s="166"/>
      <c r="BNJ39" s="166"/>
      <c r="BNK39" s="166"/>
      <c r="BNL39" s="166"/>
      <c r="BNM39" s="166"/>
      <c r="BNN39" s="166"/>
      <c r="BNO39" s="166"/>
      <c r="BNP39" s="166"/>
      <c r="BNQ39" s="166"/>
      <c r="BNR39" s="166"/>
      <c r="BNS39" s="166"/>
      <c r="BNT39" s="166"/>
      <c r="BNU39" s="166"/>
      <c r="BNV39" s="166"/>
      <c r="BNW39" s="166"/>
      <c r="BNX39" s="166"/>
      <c r="BNY39" s="166"/>
      <c r="BNZ39" s="166"/>
      <c r="BOA39" s="166"/>
      <c r="BOB39" s="166"/>
      <c r="BOC39" s="166"/>
      <c r="BOD39" s="166"/>
      <c r="BOE39" s="166"/>
      <c r="BOF39" s="166"/>
      <c r="BOG39" s="166"/>
      <c r="BOH39" s="166"/>
      <c r="BOI39" s="166"/>
      <c r="BOJ39" s="166"/>
      <c r="BOK39" s="166"/>
      <c r="BOL39" s="166"/>
      <c r="BOM39" s="166"/>
      <c r="BON39" s="166"/>
      <c r="BOO39" s="166"/>
      <c r="BOP39" s="166"/>
      <c r="BOQ39" s="166"/>
      <c r="BOR39" s="166"/>
      <c r="BOS39" s="166"/>
      <c r="BOT39" s="166"/>
      <c r="BOU39" s="166"/>
      <c r="BOV39" s="166"/>
      <c r="BOW39" s="166"/>
      <c r="BOX39" s="166"/>
      <c r="BOY39" s="166"/>
      <c r="BOZ39" s="166"/>
      <c r="BPA39" s="166"/>
      <c r="BPB39" s="166"/>
      <c r="BPC39" s="166"/>
      <c r="BPD39" s="166"/>
      <c r="BPE39" s="166"/>
      <c r="BPF39" s="166"/>
      <c r="BPG39" s="166"/>
      <c r="BPH39" s="166"/>
      <c r="BPI39" s="166"/>
      <c r="BPJ39" s="166"/>
      <c r="BPK39" s="166"/>
      <c r="BPL39" s="166"/>
      <c r="BPM39" s="166"/>
      <c r="BPN39" s="166"/>
      <c r="BPO39" s="166"/>
      <c r="BPP39" s="166"/>
      <c r="BPQ39" s="166"/>
      <c r="BPR39" s="166"/>
      <c r="BPS39" s="166"/>
      <c r="BPT39" s="166"/>
      <c r="BPU39" s="166"/>
      <c r="BPV39" s="166"/>
      <c r="BPW39" s="166"/>
      <c r="BPX39" s="166"/>
      <c r="BPY39" s="166"/>
      <c r="BPZ39" s="166"/>
      <c r="BQA39" s="166"/>
      <c r="BQB39" s="166"/>
      <c r="BQC39" s="166"/>
      <c r="BQD39" s="166"/>
      <c r="BQE39" s="166"/>
      <c r="BQF39" s="166"/>
      <c r="BQG39" s="166"/>
      <c r="BQH39" s="166"/>
      <c r="BQI39" s="166"/>
      <c r="BQJ39" s="166"/>
      <c r="BQK39" s="166"/>
      <c r="BQL39" s="166"/>
      <c r="BQM39" s="166"/>
      <c r="BQN39" s="166"/>
      <c r="BQO39" s="166"/>
      <c r="BQP39" s="166"/>
      <c r="BQQ39" s="166"/>
      <c r="BQR39" s="166"/>
      <c r="BQS39" s="166"/>
      <c r="BQT39" s="166"/>
      <c r="BQU39" s="166"/>
      <c r="BQV39" s="166"/>
      <c r="BQW39" s="166"/>
      <c r="BQX39" s="166"/>
      <c r="BQY39" s="166"/>
      <c r="BQZ39" s="166"/>
      <c r="BRA39" s="166"/>
      <c r="BRB39" s="166"/>
      <c r="BRC39" s="166"/>
      <c r="BRD39" s="166"/>
      <c r="BRE39" s="166"/>
      <c r="BRF39" s="166"/>
      <c r="BRG39" s="166"/>
      <c r="BRH39" s="166"/>
      <c r="BRI39" s="166"/>
      <c r="BRJ39" s="166"/>
      <c r="BRK39" s="166"/>
      <c r="BRL39" s="166"/>
      <c r="BRM39" s="166"/>
      <c r="BRN39" s="166"/>
      <c r="BRO39" s="166"/>
      <c r="BRP39" s="166"/>
      <c r="BRQ39" s="166"/>
      <c r="BRR39" s="166"/>
      <c r="BRS39" s="166"/>
      <c r="BRT39" s="166"/>
      <c r="BRU39" s="166"/>
      <c r="BRV39" s="166"/>
      <c r="BRW39" s="166"/>
      <c r="BRX39" s="166"/>
      <c r="BRY39" s="166"/>
      <c r="BRZ39" s="166"/>
      <c r="BSA39" s="166"/>
      <c r="BSB39" s="166"/>
      <c r="BSC39" s="166"/>
      <c r="BSD39" s="166"/>
      <c r="BSE39" s="166"/>
      <c r="BSF39" s="166"/>
      <c r="BSG39" s="166"/>
      <c r="BSH39" s="166"/>
      <c r="BSI39" s="166"/>
      <c r="BSJ39" s="166"/>
      <c r="BSK39" s="166"/>
      <c r="BSL39" s="166"/>
      <c r="BSM39" s="166"/>
      <c r="BSN39" s="166"/>
      <c r="BSO39" s="166"/>
      <c r="BSP39" s="166"/>
      <c r="BSQ39" s="166"/>
      <c r="BSR39" s="166"/>
      <c r="BSS39" s="166"/>
    </row>
    <row r="40" spans="1:1865" ht="20.100000000000001" customHeight="1" x14ac:dyDescent="0.25">
      <c r="A40" s="100" t="s">
        <v>21</v>
      </c>
      <c r="B40" s="63" t="str">
        <f>IF(LEN(C65)=0,"",C65)</f>
        <v/>
      </c>
      <c r="C40" s="208"/>
      <c r="D40" s="147" t="str">
        <f t="shared" si="0"/>
        <v>0h55min</v>
      </c>
      <c r="E40" s="27">
        <v>11</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45"/>
      <c r="CM40" s="245"/>
      <c r="CN40" s="245"/>
      <c r="CO40" s="245"/>
      <c r="CP40" s="245"/>
      <c r="CQ40" s="247"/>
      <c r="CR40" s="248"/>
      <c r="CS40" s="248"/>
      <c r="CT40" s="248"/>
      <c r="CU40" s="248"/>
      <c r="CV40" s="245"/>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165"/>
      <c r="BHG40" s="166"/>
      <c r="BHH40" s="166"/>
      <c r="BHI40" s="166"/>
      <c r="BHJ40" s="166"/>
      <c r="BHK40" s="166"/>
      <c r="BHL40" s="166"/>
      <c r="BHM40" s="166"/>
      <c r="BHN40" s="166"/>
      <c r="BHO40" s="166"/>
      <c r="BHP40" s="166"/>
      <c r="BHQ40" s="166"/>
      <c r="BHR40" s="166"/>
      <c r="BHS40" s="166"/>
      <c r="BHT40" s="166"/>
      <c r="BHU40" s="166"/>
      <c r="BHV40" s="166"/>
      <c r="BHW40" s="166"/>
      <c r="BHX40" s="166"/>
      <c r="BHY40" s="166"/>
      <c r="BHZ40" s="166"/>
      <c r="BIA40" s="166"/>
      <c r="BIB40" s="166"/>
      <c r="BIC40" s="166"/>
      <c r="BID40" s="166"/>
      <c r="BIE40" s="166"/>
      <c r="BIF40" s="166"/>
      <c r="BIG40" s="166"/>
      <c r="BIH40" s="166"/>
      <c r="BII40" s="166"/>
      <c r="BIJ40" s="166"/>
      <c r="BIK40" s="166"/>
      <c r="BIL40" s="166"/>
      <c r="BIM40" s="166"/>
      <c r="BIN40" s="166"/>
      <c r="BIO40" s="166"/>
      <c r="BIP40" s="166"/>
      <c r="BIQ40" s="166"/>
      <c r="BIR40" s="166"/>
      <c r="BIS40" s="166"/>
      <c r="BIT40" s="166"/>
      <c r="BIU40" s="166"/>
      <c r="BIV40" s="166"/>
      <c r="BIW40" s="166"/>
      <c r="BIX40" s="166"/>
      <c r="BIY40" s="166"/>
      <c r="BIZ40" s="166"/>
      <c r="BJA40" s="166"/>
      <c r="BJB40" s="166"/>
      <c r="BJC40" s="166"/>
      <c r="BJD40" s="166"/>
      <c r="BJE40" s="166"/>
      <c r="BJF40" s="166"/>
      <c r="BJG40" s="166"/>
      <c r="BJH40" s="166"/>
      <c r="BJI40" s="166"/>
      <c r="BJJ40" s="166"/>
      <c r="BJK40" s="166"/>
      <c r="BJL40" s="166"/>
      <c r="BJM40" s="166"/>
      <c r="BJN40" s="166"/>
      <c r="BJO40" s="166"/>
      <c r="BJP40" s="166"/>
      <c r="BJQ40" s="166"/>
      <c r="BJR40" s="166"/>
      <c r="BJS40" s="166"/>
      <c r="BJT40" s="166"/>
      <c r="BJU40" s="166"/>
      <c r="BJV40" s="166"/>
      <c r="BJW40" s="166"/>
      <c r="BJX40" s="166"/>
      <c r="BJY40" s="166"/>
      <c r="BJZ40" s="166"/>
      <c r="BKA40" s="166"/>
      <c r="BKB40" s="166"/>
      <c r="BKC40" s="166"/>
      <c r="BKD40" s="166"/>
      <c r="BKE40" s="166"/>
      <c r="BKF40" s="166"/>
      <c r="BKG40" s="166"/>
      <c r="BKH40" s="166"/>
      <c r="BKI40" s="166"/>
      <c r="BKJ40" s="166"/>
      <c r="BKK40" s="166"/>
      <c r="BKL40" s="166"/>
      <c r="BKM40" s="166"/>
      <c r="BKN40" s="166"/>
      <c r="BKO40" s="166"/>
      <c r="BKP40" s="166"/>
      <c r="BKQ40" s="166"/>
      <c r="BKR40" s="166"/>
      <c r="BKS40" s="166"/>
      <c r="BKT40" s="166"/>
      <c r="BKU40" s="166"/>
      <c r="BKV40" s="166"/>
      <c r="BKW40" s="166"/>
      <c r="BKX40" s="166"/>
      <c r="BKY40" s="166"/>
      <c r="BKZ40" s="166"/>
      <c r="BLA40" s="166"/>
      <c r="BLB40" s="166"/>
      <c r="BLC40" s="166"/>
      <c r="BLD40" s="166"/>
      <c r="BLE40" s="166"/>
      <c r="BLF40" s="166"/>
      <c r="BLG40" s="166"/>
      <c r="BLH40" s="166"/>
      <c r="BLI40" s="166"/>
      <c r="BLJ40" s="166"/>
      <c r="BLK40" s="166"/>
      <c r="BLL40" s="166"/>
      <c r="BLM40" s="166"/>
      <c r="BLN40" s="166"/>
      <c r="BLO40" s="166"/>
      <c r="BLP40" s="166"/>
      <c r="BLQ40" s="166"/>
      <c r="BLR40" s="166"/>
      <c r="BLS40" s="166"/>
      <c r="BLT40" s="166"/>
      <c r="BLU40" s="166"/>
      <c r="BLV40" s="166"/>
      <c r="BLW40" s="166"/>
      <c r="BLX40" s="166"/>
      <c r="BLY40" s="166"/>
      <c r="BLZ40" s="166"/>
      <c r="BMA40" s="166"/>
      <c r="BMB40" s="166"/>
      <c r="BMC40" s="166"/>
      <c r="BMD40" s="166"/>
      <c r="BME40" s="166"/>
      <c r="BMF40" s="166"/>
      <c r="BMG40" s="166"/>
      <c r="BMH40" s="166"/>
      <c r="BMI40" s="166"/>
      <c r="BMJ40" s="166"/>
      <c r="BMK40" s="166"/>
      <c r="BML40" s="166"/>
      <c r="BMM40" s="166"/>
      <c r="BMN40" s="166"/>
      <c r="BMO40" s="166"/>
      <c r="BMP40" s="166"/>
      <c r="BMQ40" s="166"/>
      <c r="BMR40" s="166"/>
      <c r="BMS40" s="166"/>
      <c r="BMT40" s="166"/>
      <c r="BMU40" s="166"/>
      <c r="BMV40" s="166"/>
      <c r="BMW40" s="166"/>
      <c r="BMX40" s="166"/>
      <c r="BMY40" s="166"/>
      <c r="BMZ40" s="166"/>
      <c r="BNA40" s="166"/>
      <c r="BNB40" s="166"/>
      <c r="BNC40" s="166"/>
      <c r="BND40" s="166"/>
      <c r="BNE40" s="166"/>
      <c r="BNF40" s="166"/>
      <c r="BNG40" s="166"/>
      <c r="BNH40" s="166"/>
      <c r="BNI40" s="166"/>
      <c r="BNJ40" s="166"/>
      <c r="BNK40" s="166"/>
      <c r="BNL40" s="166"/>
      <c r="BNM40" s="166"/>
      <c r="BNN40" s="166"/>
      <c r="BNO40" s="166"/>
      <c r="BNP40" s="166"/>
      <c r="BNQ40" s="166"/>
      <c r="BNR40" s="166"/>
      <c r="BNS40" s="166"/>
      <c r="BNT40" s="166"/>
      <c r="BNU40" s="166"/>
      <c r="BNV40" s="166"/>
      <c r="BNW40" s="166"/>
      <c r="BNX40" s="166"/>
      <c r="BNY40" s="166"/>
      <c r="BNZ40" s="166"/>
      <c r="BOA40" s="166"/>
      <c r="BOB40" s="166"/>
      <c r="BOC40" s="166"/>
      <c r="BOD40" s="166"/>
      <c r="BOE40" s="166"/>
      <c r="BOF40" s="166"/>
      <c r="BOG40" s="166"/>
      <c r="BOH40" s="166"/>
      <c r="BOI40" s="166"/>
      <c r="BOJ40" s="166"/>
      <c r="BOK40" s="166"/>
      <c r="BOL40" s="166"/>
      <c r="BOM40" s="166"/>
      <c r="BON40" s="166"/>
      <c r="BOO40" s="166"/>
      <c r="BOP40" s="166"/>
      <c r="BOQ40" s="166"/>
      <c r="BOR40" s="166"/>
      <c r="BOS40" s="166"/>
      <c r="BOT40" s="166"/>
      <c r="BOU40" s="166"/>
      <c r="BOV40" s="166"/>
      <c r="BOW40" s="166"/>
      <c r="BOX40" s="166"/>
      <c r="BOY40" s="166"/>
      <c r="BOZ40" s="166"/>
      <c r="BPA40" s="166"/>
      <c r="BPB40" s="166"/>
      <c r="BPC40" s="166"/>
      <c r="BPD40" s="166"/>
      <c r="BPE40" s="166"/>
      <c r="BPF40" s="166"/>
      <c r="BPG40" s="166"/>
      <c r="BPH40" s="166"/>
      <c r="BPI40" s="166"/>
      <c r="BPJ40" s="166"/>
      <c r="BPK40" s="166"/>
      <c r="BPL40" s="166"/>
      <c r="BPM40" s="166"/>
      <c r="BPN40" s="166"/>
      <c r="BPO40" s="166"/>
      <c r="BPP40" s="166"/>
      <c r="BPQ40" s="166"/>
      <c r="BPR40" s="166"/>
      <c r="BPS40" s="166"/>
      <c r="BPT40" s="166"/>
      <c r="BPU40" s="166"/>
      <c r="BPV40" s="166"/>
      <c r="BPW40" s="166"/>
      <c r="BPX40" s="166"/>
      <c r="BPY40" s="166"/>
      <c r="BPZ40" s="166"/>
      <c r="BQA40" s="166"/>
      <c r="BQB40" s="166"/>
      <c r="BQC40" s="166"/>
      <c r="BQD40" s="166"/>
      <c r="BQE40" s="166"/>
      <c r="BQF40" s="166"/>
      <c r="BQG40" s="166"/>
      <c r="BQH40" s="166"/>
      <c r="BQI40" s="166"/>
      <c r="BQJ40" s="166"/>
      <c r="BQK40" s="166"/>
      <c r="BQL40" s="166"/>
      <c r="BQM40" s="166"/>
      <c r="BQN40" s="166"/>
      <c r="BQO40" s="166"/>
      <c r="BQP40" s="166"/>
      <c r="BQQ40" s="166"/>
      <c r="BQR40" s="166"/>
      <c r="BQS40" s="166"/>
      <c r="BQT40" s="166"/>
      <c r="BQU40" s="166"/>
      <c r="BQV40" s="166"/>
      <c r="BQW40" s="166"/>
      <c r="BQX40" s="166"/>
      <c r="BQY40" s="166"/>
      <c r="BQZ40" s="166"/>
      <c r="BRA40" s="166"/>
      <c r="BRB40" s="166"/>
      <c r="BRC40" s="166"/>
      <c r="BRD40" s="166"/>
      <c r="BRE40" s="166"/>
      <c r="BRF40" s="166"/>
      <c r="BRG40" s="166"/>
      <c r="BRH40" s="166"/>
      <c r="BRI40" s="166"/>
      <c r="BRJ40" s="166"/>
      <c r="BRK40" s="166"/>
      <c r="BRL40" s="166"/>
      <c r="BRM40" s="166"/>
      <c r="BRN40" s="166"/>
      <c r="BRO40" s="166"/>
      <c r="BRP40" s="166"/>
      <c r="BRQ40" s="166"/>
      <c r="BRR40" s="166"/>
      <c r="BRS40" s="166"/>
      <c r="BRT40" s="166"/>
      <c r="BRU40" s="166"/>
      <c r="BRV40" s="166"/>
      <c r="BRW40" s="166"/>
      <c r="BRX40" s="166"/>
      <c r="BRY40" s="166"/>
      <c r="BRZ40" s="166"/>
      <c r="BSA40" s="166"/>
      <c r="BSB40" s="166"/>
      <c r="BSC40" s="166"/>
      <c r="BSD40" s="166"/>
      <c r="BSE40" s="166"/>
      <c r="BSF40" s="166"/>
      <c r="BSG40" s="166"/>
      <c r="BSH40" s="166"/>
      <c r="BSI40" s="166"/>
      <c r="BSJ40" s="166"/>
      <c r="BSK40" s="166"/>
      <c r="BSL40" s="166"/>
      <c r="BSM40" s="166"/>
      <c r="BSN40" s="166"/>
      <c r="BSO40" s="166"/>
      <c r="BSP40" s="166"/>
      <c r="BSQ40" s="166"/>
      <c r="BSR40" s="166"/>
      <c r="BSS40" s="166"/>
    </row>
    <row r="41" spans="1:1865" ht="20.100000000000001" customHeight="1" x14ac:dyDescent="0.25">
      <c r="A41" s="100" t="s">
        <v>20</v>
      </c>
      <c r="B41" s="63" t="str">
        <f>IF(LEN(C67)=0,"",C67)</f>
        <v/>
      </c>
      <c r="C41" s="207" t="s">
        <v>97</v>
      </c>
      <c r="D41" s="146" t="str">
        <f t="shared" si="0"/>
        <v>7h40min</v>
      </c>
      <c r="E41" s="31">
        <v>92</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169"/>
      <c r="XC41" s="169"/>
      <c r="XD41" s="169"/>
      <c r="XE41" s="171"/>
      <c r="XF41" s="169"/>
      <c r="XG41" s="169"/>
      <c r="XH41" s="169"/>
      <c r="XI41" s="169"/>
      <c r="XJ41" s="169"/>
      <c r="XK41" s="181"/>
      <c r="XL41" s="168"/>
      <c r="XM41" s="168"/>
      <c r="XN41" s="168"/>
      <c r="XO41" s="168"/>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167"/>
      <c r="YQ41" s="168"/>
      <c r="YR41" s="168"/>
      <c r="YS41" s="168"/>
      <c r="YT41" s="169"/>
      <c r="YU41" s="170"/>
      <c r="YV41" s="169"/>
      <c r="YW41" s="169"/>
      <c r="YX41" s="169"/>
      <c r="YY41" s="169"/>
      <c r="YZ41" s="169"/>
      <c r="ZA41" s="171"/>
      <c r="ZB41" s="169"/>
      <c r="ZC41" s="169"/>
      <c r="ZD41" s="169"/>
      <c r="ZE41" s="169"/>
      <c r="ZF41" s="169"/>
      <c r="ZG41" s="181"/>
      <c r="ZH41" s="169"/>
      <c r="ZI41" s="169"/>
      <c r="ZJ41" s="169"/>
      <c r="ZK41" s="169"/>
      <c r="ZL41" s="169"/>
      <c r="ZM41" s="171"/>
      <c r="ZN41" s="169"/>
      <c r="ZO41" s="169"/>
      <c r="ZP41" s="169"/>
      <c r="ZQ41" s="169"/>
      <c r="ZR41" s="169"/>
      <c r="ZS41" s="181"/>
      <c r="ZT41" s="168"/>
      <c r="ZU41" s="168"/>
      <c r="ZV41" s="168"/>
      <c r="ZW41" s="168"/>
      <c r="ZX41" s="169"/>
      <c r="ZY41" s="171"/>
      <c r="ZZ41" s="169"/>
      <c r="AAA41" s="169"/>
      <c r="AAB41" s="169"/>
      <c r="AAC41" s="169"/>
      <c r="AAD41" s="169"/>
      <c r="AAE41" s="181"/>
      <c r="AAF41" s="169"/>
      <c r="AAG41" s="169"/>
      <c r="AAH41" s="33"/>
      <c r="AAI41" s="33"/>
      <c r="AAJ41" s="33"/>
      <c r="AAK41" s="137"/>
      <c r="AAL41" s="33"/>
      <c r="AAM41" s="33"/>
      <c r="AAN41" s="33"/>
      <c r="AAO41" s="33"/>
      <c r="AAP41" s="33"/>
      <c r="AAQ41" s="74"/>
      <c r="AAR41" s="33"/>
      <c r="AAS41" s="33"/>
      <c r="AAT41" s="33"/>
      <c r="AAU41" s="33"/>
      <c r="AAV41" s="33"/>
      <c r="AAW41" s="34"/>
      <c r="AAX41" s="167"/>
      <c r="AAY41" s="168"/>
      <c r="AAZ41" s="168"/>
      <c r="ABA41" s="168"/>
      <c r="ABB41" s="169"/>
      <c r="ABC41" s="170"/>
      <c r="ABD41" s="169"/>
      <c r="ABE41" s="169"/>
      <c r="ABF41" s="169"/>
      <c r="ABG41" s="169"/>
      <c r="ABH41" s="169"/>
      <c r="ABI41" s="171"/>
      <c r="ABJ41" s="169"/>
      <c r="ABK41" s="169"/>
      <c r="ABL41" s="169"/>
      <c r="ABM41" s="169"/>
      <c r="ABN41" s="169"/>
      <c r="ABO41" s="181"/>
      <c r="ABP41" s="169"/>
      <c r="ABQ41" s="169"/>
      <c r="ABR41" s="169"/>
      <c r="ABS41" s="169"/>
      <c r="ABT41" s="169"/>
      <c r="ABU41" s="171"/>
      <c r="ABV41" s="169"/>
      <c r="ABW41" s="169"/>
      <c r="ABX41" s="169"/>
      <c r="ABY41" s="169"/>
      <c r="ABZ41" s="169"/>
      <c r="ACA41" s="181"/>
      <c r="ACB41" s="168"/>
      <c r="ACC41" s="168"/>
      <c r="ACD41" s="168"/>
      <c r="ACE41" s="168"/>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165"/>
      <c r="BHG41" s="166"/>
      <c r="BHH41" s="166"/>
      <c r="BHI41" s="166"/>
      <c r="BHJ41" s="166"/>
      <c r="BHK41" s="166"/>
      <c r="BHL41" s="166"/>
      <c r="BHM41" s="166"/>
      <c r="BHN41" s="166"/>
      <c r="BHO41" s="166"/>
      <c r="BHP41" s="166"/>
      <c r="BHQ41" s="166"/>
      <c r="BHR41" s="166"/>
      <c r="BHS41" s="166"/>
      <c r="BHT41" s="166"/>
      <c r="BHU41" s="166"/>
      <c r="BHV41" s="166"/>
      <c r="BHW41" s="166"/>
      <c r="BHX41" s="166"/>
      <c r="BHY41" s="166"/>
      <c r="BHZ41" s="166"/>
      <c r="BIA41" s="166"/>
      <c r="BIB41" s="166"/>
      <c r="BIC41" s="166"/>
      <c r="BID41" s="166"/>
      <c r="BIE41" s="166"/>
      <c r="BIF41" s="166"/>
      <c r="BIG41" s="166"/>
      <c r="BIH41" s="166"/>
      <c r="BII41" s="166"/>
      <c r="BIJ41" s="166"/>
      <c r="BIK41" s="166"/>
      <c r="BIL41" s="166"/>
      <c r="BIM41" s="166"/>
      <c r="BIN41" s="166"/>
      <c r="BIO41" s="166"/>
      <c r="BIP41" s="166"/>
      <c r="BIQ41" s="166"/>
      <c r="BIR41" s="166"/>
      <c r="BIS41" s="166"/>
      <c r="BIT41" s="166"/>
      <c r="BIU41" s="166"/>
      <c r="BIV41" s="166"/>
      <c r="BIW41" s="166"/>
      <c r="BIX41" s="166"/>
      <c r="BIY41" s="166"/>
      <c r="BIZ41" s="166"/>
      <c r="BJA41" s="166"/>
      <c r="BJB41" s="166"/>
      <c r="BJC41" s="166"/>
      <c r="BJD41" s="166"/>
      <c r="BJE41" s="166"/>
      <c r="BJF41" s="166"/>
      <c r="BJG41" s="166"/>
      <c r="BJH41" s="166"/>
      <c r="BJI41" s="166"/>
      <c r="BJJ41" s="166"/>
      <c r="BJK41" s="166"/>
      <c r="BJL41" s="166"/>
      <c r="BJM41" s="166"/>
      <c r="BJN41" s="166"/>
      <c r="BJO41" s="166"/>
      <c r="BJP41" s="166"/>
      <c r="BJQ41" s="166"/>
      <c r="BJR41" s="166"/>
      <c r="BJS41" s="166"/>
      <c r="BJT41" s="166"/>
      <c r="BJU41" s="166"/>
      <c r="BJV41" s="166"/>
      <c r="BJW41" s="166"/>
      <c r="BJX41" s="166"/>
      <c r="BJY41" s="166"/>
      <c r="BJZ41" s="166"/>
      <c r="BKA41" s="166"/>
      <c r="BKB41" s="166"/>
      <c r="BKC41" s="166"/>
      <c r="BKD41" s="166"/>
      <c r="BKE41" s="166"/>
      <c r="BKF41" s="166"/>
      <c r="BKG41" s="166"/>
      <c r="BKH41" s="166"/>
      <c r="BKI41" s="166"/>
      <c r="BKJ41" s="166"/>
      <c r="BKK41" s="166"/>
      <c r="BKL41" s="166"/>
      <c r="BKM41" s="166"/>
      <c r="BKN41" s="166"/>
      <c r="BKO41" s="166"/>
      <c r="BKP41" s="166"/>
      <c r="BKQ41" s="166"/>
      <c r="BKR41" s="166"/>
      <c r="BKS41" s="166"/>
      <c r="BKT41" s="166"/>
      <c r="BKU41" s="166"/>
      <c r="BKV41" s="166"/>
      <c r="BKW41" s="166"/>
      <c r="BKX41" s="166"/>
      <c r="BKY41" s="166"/>
      <c r="BKZ41" s="166"/>
      <c r="BLA41" s="166"/>
      <c r="BLB41" s="166"/>
      <c r="BLC41" s="166"/>
      <c r="BLD41" s="166"/>
      <c r="BLE41" s="166"/>
      <c r="BLF41" s="166"/>
      <c r="BLG41" s="166"/>
      <c r="BLH41" s="166"/>
      <c r="BLI41" s="166"/>
      <c r="BLJ41" s="166"/>
      <c r="BLK41" s="166"/>
      <c r="BLL41" s="166"/>
      <c r="BLM41" s="166"/>
      <c r="BLN41" s="166"/>
      <c r="BLO41" s="166"/>
      <c r="BLP41" s="166"/>
      <c r="BLQ41" s="166"/>
      <c r="BLR41" s="166"/>
      <c r="BLS41" s="166"/>
      <c r="BLT41" s="166"/>
      <c r="BLU41" s="166"/>
      <c r="BLV41" s="166"/>
      <c r="BLW41" s="166"/>
      <c r="BLX41" s="166"/>
      <c r="BLY41" s="166"/>
      <c r="BLZ41" s="166"/>
      <c r="BMA41" s="166"/>
      <c r="BMB41" s="166"/>
      <c r="BMC41" s="166"/>
      <c r="BMD41" s="166"/>
      <c r="BME41" s="166"/>
      <c r="BMF41" s="166"/>
      <c r="BMG41" s="166"/>
      <c r="BMH41" s="166"/>
      <c r="BMI41" s="166"/>
      <c r="BMJ41" s="166"/>
      <c r="BMK41" s="166"/>
      <c r="BML41" s="166"/>
      <c r="BMM41" s="166"/>
      <c r="BMN41" s="166"/>
      <c r="BMO41" s="166"/>
      <c r="BMP41" s="166"/>
      <c r="BMQ41" s="166"/>
      <c r="BMR41" s="166"/>
      <c r="BMS41" s="166"/>
      <c r="BMT41" s="166"/>
      <c r="BMU41" s="166"/>
      <c r="BMV41" s="166"/>
      <c r="BMW41" s="166"/>
      <c r="BMX41" s="166"/>
      <c r="BMY41" s="166"/>
      <c r="BMZ41" s="166"/>
      <c r="BNA41" s="166"/>
      <c r="BNB41" s="166"/>
      <c r="BNC41" s="166"/>
      <c r="BND41" s="166"/>
      <c r="BNE41" s="166"/>
      <c r="BNF41" s="166"/>
      <c r="BNG41" s="166"/>
      <c r="BNH41" s="166"/>
      <c r="BNI41" s="166"/>
      <c r="BNJ41" s="166"/>
      <c r="BNK41" s="166"/>
      <c r="BNL41" s="166"/>
      <c r="BNM41" s="166"/>
      <c r="BNN41" s="166"/>
      <c r="BNO41" s="166"/>
      <c r="BNP41" s="166"/>
      <c r="BNQ41" s="166"/>
      <c r="BNR41" s="166"/>
      <c r="BNS41" s="166"/>
      <c r="BNT41" s="166"/>
      <c r="BNU41" s="166"/>
      <c r="BNV41" s="166"/>
      <c r="BNW41" s="166"/>
      <c r="BNX41" s="166"/>
      <c r="BNY41" s="166"/>
      <c r="BNZ41" s="166"/>
      <c r="BOA41" s="166"/>
      <c r="BOB41" s="166"/>
      <c r="BOC41" s="166"/>
      <c r="BOD41" s="166"/>
      <c r="BOE41" s="166"/>
      <c r="BOF41" s="166"/>
      <c r="BOG41" s="166"/>
      <c r="BOH41" s="166"/>
      <c r="BOI41" s="166"/>
      <c r="BOJ41" s="166"/>
      <c r="BOK41" s="166"/>
      <c r="BOL41" s="166"/>
      <c r="BOM41" s="166"/>
      <c r="BON41" s="166"/>
      <c r="BOO41" s="166"/>
      <c r="BOP41" s="166"/>
      <c r="BOQ41" s="166"/>
      <c r="BOR41" s="166"/>
      <c r="BOS41" s="166"/>
      <c r="BOT41" s="166"/>
      <c r="BOU41" s="166"/>
      <c r="BOV41" s="166"/>
      <c r="BOW41" s="166"/>
      <c r="BOX41" s="166"/>
      <c r="BOY41" s="166"/>
      <c r="BOZ41" s="166"/>
      <c r="BPA41" s="166"/>
      <c r="BPB41" s="166"/>
      <c r="BPC41" s="166"/>
      <c r="BPD41" s="166"/>
      <c r="BPE41" s="166"/>
      <c r="BPF41" s="166"/>
      <c r="BPG41" s="166"/>
      <c r="BPH41" s="166"/>
      <c r="BPI41" s="166"/>
      <c r="BPJ41" s="166"/>
      <c r="BPK41" s="166"/>
      <c r="BPL41" s="166"/>
      <c r="BPM41" s="166"/>
      <c r="BPN41" s="166"/>
      <c r="BPO41" s="166"/>
      <c r="BPP41" s="166"/>
      <c r="BPQ41" s="166"/>
      <c r="BPR41" s="166"/>
      <c r="BPS41" s="166"/>
      <c r="BPT41" s="166"/>
      <c r="BPU41" s="166"/>
      <c r="BPV41" s="166"/>
      <c r="BPW41" s="166"/>
      <c r="BPX41" s="166"/>
      <c r="BPY41" s="166"/>
      <c r="BPZ41" s="166"/>
      <c r="BQA41" s="166"/>
      <c r="BQB41" s="166"/>
      <c r="BQC41" s="166"/>
      <c r="BQD41" s="166"/>
      <c r="BQE41" s="166"/>
      <c r="BQF41" s="166"/>
      <c r="BQG41" s="166"/>
      <c r="BQH41" s="166"/>
      <c r="BQI41" s="166"/>
      <c r="BQJ41" s="166"/>
      <c r="BQK41" s="166"/>
      <c r="BQL41" s="166"/>
      <c r="BQM41" s="166"/>
      <c r="BQN41" s="166"/>
      <c r="BQO41" s="166"/>
      <c r="BQP41" s="166"/>
      <c r="BQQ41" s="166"/>
      <c r="BQR41" s="166"/>
      <c r="BQS41" s="166"/>
      <c r="BQT41" s="166"/>
      <c r="BQU41" s="166"/>
      <c r="BQV41" s="166"/>
      <c r="BQW41" s="166"/>
      <c r="BQX41" s="166"/>
      <c r="BQY41" s="166"/>
      <c r="BQZ41" s="166"/>
      <c r="BRA41" s="166"/>
      <c r="BRB41" s="166"/>
      <c r="BRC41" s="166"/>
      <c r="BRD41" s="166"/>
      <c r="BRE41" s="166"/>
      <c r="BRF41" s="166"/>
      <c r="BRG41" s="166"/>
      <c r="BRH41" s="166"/>
      <c r="BRI41" s="166"/>
      <c r="BRJ41" s="166"/>
      <c r="BRK41" s="166"/>
      <c r="BRL41" s="166"/>
      <c r="BRM41" s="166"/>
      <c r="BRN41" s="166"/>
      <c r="BRO41" s="166"/>
      <c r="BRP41" s="166"/>
      <c r="BRQ41" s="166"/>
      <c r="BRR41" s="166"/>
      <c r="BRS41" s="166"/>
      <c r="BRT41" s="166"/>
      <c r="BRU41" s="166"/>
      <c r="BRV41" s="166"/>
      <c r="BRW41" s="166"/>
      <c r="BRX41" s="166"/>
      <c r="BRY41" s="166"/>
      <c r="BRZ41" s="166"/>
      <c r="BSA41" s="166"/>
      <c r="BSB41" s="166"/>
      <c r="BSC41" s="166"/>
      <c r="BSD41" s="166"/>
      <c r="BSE41" s="166"/>
      <c r="BSF41" s="166"/>
      <c r="BSG41" s="166"/>
      <c r="BSH41" s="166"/>
      <c r="BSI41" s="166"/>
      <c r="BSJ41" s="166"/>
      <c r="BSK41" s="166"/>
      <c r="BSL41" s="166"/>
      <c r="BSM41" s="166"/>
      <c r="BSN41" s="166"/>
      <c r="BSO41" s="166"/>
      <c r="BSP41" s="166"/>
      <c r="BSQ41" s="166"/>
      <c r="BSR41" s="166"/>
      <c r="BSS41" s="166"/>
    </row>
    <row r="42" spans="1:1865" ht="20.100000000000001" customHeight="1" x14ac:dyDescent="0.3">
      <c r="A42" s="100" t="s">
        <v>21</v>
      </c>
      <c r="B42" s="63" t="str">
        <f>IF(LEN(C69)=0,"",C69)</f>
        <v/>
      </c>
      <c r="C42" s="208"/>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165"/>
      <c r="BHG42" s="166"/>
      <c r="BHH42" s="166"/>
      <c r="BHI42" s="166"/>
      <c r="BHJ42" s="166"/>
      <c r="BHK42" s="166"/>
      <c r="BHL42" s="166"/>
      <c r="BHM42" s="166"/>
      <c r="BHN42" s="166"/>
      <c r="BHO42" s="166"/>
      <c r="BHP42" s="166"/>
      <c r="BHQ42" s="166"/>
      <c r="BHR42" s="166"/>
      <c r="BHS42" s="166"/>
      <c r="BHT42" s="166"/>
      <c r="BHU42" s="166"/>
      <c r="BHV42" s="166"/>
      <c r="BHW42" s="166"/>
      <c r="BHX42" s="166"/>
      <c r="BHY42" s="166"/>
      <c r="BHZ42" s="166"/>
      <c r="BIA42" s="166"/>
      <c r="BIB42" s="166"/>
      <c r="BIC42" s="166"/>
      <c r="BID42" s="166"/>
      <c r="BIE42" s="166"/>
      <c r="BIF42" s="166"/>
      <c r="BIG42" s="166"/>
      <c r="BIH42" s="166"/>
      <c r="BII42" s="166"/>
      <c r="BIJ42" s="166"/>
      <c r="BIK42" s="166"/>
      <c r="BIL42" s="166"/>
      <c r="BIM42" s="166"/>
      <c r="BIN42" s="166"/>
      <c r="BIO42" s="166"/>
      <c r="BIP42" s="166"/>
      <c r="BIQ42" s="166"/>
      <c r="BIR42" s="166"/>
      <c r="BIS42" s="166"/>
      <c r="BIT42" s="166"/>
      <c r="BIU42" s="166"/>
      <c r="BIV42" s="166"/>
      <c r="BIW42" s="166"/>
      <c r="BIX42" s="166"/>
      <c r="BIY42" s="166"/>
      <c r="BIZ42" s="166"/>
      <c r="BJA42" s="166"/>
      <c r="BJB42" s="166"/>
      <c r="BJC42" s="166"/>
      <c r="BJD42" s="166"/>
      <c r="BJE42" s="166"/>
      <c r="BJF42" s="166"/>
      <c r="BJG42" s="166"/>
      <c r="BJH42" s="166"/>
      <c r="BJI42" s="166"/>
      <c r="BJJ42" s="166"/>
      <c r="BJK42" s="166"/>
      <c r="BJL42" s="166"/>
      <c r="BJM42" s="166"/>
      <c r="BJN42" s="166"/>
      <c r="BJO42" s="166"/>
      <c r="BJP42" s="166"/>
      <c r="BJQ42" s="166"/>
      <c r="BJR42" s="166"/>
      <c r="BJS42" s="166"/>
      <c r="BJT42" s="166"/>
      <c r="BJU42" s="166"/>
      <c r="BJV42" s="166"/>
      <c r="BJW42" s="166"/>
      <c r="BJX42" s="166"/>
      <c r="BJY42" s="166"/>
      <c r="BJZ42" s="166"/>
      <c r="BKA42" s="166"/>
      <c r="BKB42" s="166"/>
      <c r="BKC42" s="166"/>
      <c r="BKD42" s="166"/>
      <c r="BKE42" s="166"/>
      <c r="BKF42" s="166"/>
      <c r="BKG42" s="166"/>
      <c r="BKH42" s="166"/>
      <c r="BKI42" s="166"/>
      <c r="BKJ42" s="166"/>
      <c r="BKK42" s="166"/>
      <c r="BKL42" s="166"/>
      <c r="BKM42" s="166"/>
      <c r="BKN42" s="166"/>
      <c r="BKO42" s="166"/>
      <c r="BKP42" s="166"/>
      <c r="BKQ42" s="166"/>
      <c r="BKR42" s="166"/>
      <c r="BKS42" s="166"/>
      <c r="BKT42" s="166"/>
      <c r="BKU42" s="166"/>
      <c r="BKV42" s="166"/>
      <c r="BKW42" s="166"/>
      <c r="BKX42" s="166"/>
      <c r="BKY42" s="166"/>
      <c r="BKZ42" s="166"/>
      <c r="BLA42" s="166"/>
      <c r="BLB42" s="166"/>
      <c r="BLC42" s="166"/>
      <c r="BLD42" s="166"/>
      <c r="BLE42" s="166"/>
      <c r="BLF42" s="166"/>
      <c r="BLG42" s="166"/>
      <c r="BLH42" s="166"/>
      <c r="BLI42" s="166"/>
      <c r="BLJ42" s="166"/>
      <c r="BLK42" s="166"/>
      <c r="BLL42" s="166"/>
      <c r="BLM42" s="166"/>
      <c r="BLN42" s="166"/>
      <c r="BLO42" s="166"/>
      <c r="BLP42" s="166"/>
      <c r="BLQ42" s="166"/>
      <c r="BLR42" s="166"/>
      <c r="BLS42" s="166"/>
      <c r="BLT42" s="166"/>
      <c r="BLU42" s="166"/>
      <c r="BLV42" s="166"/>
      <c r="BLW42" s="166"/>
      <c r="BLX42" s="166"/>
      <c r="BLY42" s="166"/>
      <c r="BLZ42" s="166"/>
      <c r="BMA42" s="166"/>
      <c r="BMB42" s="166"/>
      <c r="BMC42" s="166"/>
      <c r="BMD42" s="166"/>
      <c r="BME42" s="166"/>
      <c r="BMF42" s="166"/>
      <c r="BMG42" s="166"/>
      <c r="BMH42" s="166"/>
      <c r="BMI42" s="166"/>
      <c r="BMJ42" s="166"/>
      <c r="BMK42" s="166"/>
      <c r="BML42" s="166"/>
      <c r="BMM42" s="166"/>
      <c r="BMN42" s="166"/>
      <c r="BMO42" s="166"/>
      <c r="BMP42" s="166"/>
      <c r="BMQ42" s="166"/>
      <c r="BMR42" s="166"/>
      <c r="BMS42" s="166"/>
      <c r="BMT42" s="166"/>
      <c r="BMU42" s="166"/>
      <c r="BMV42" s="166"/>
      <c r="BMW42" s="166"/>
      <c r="BMX42" s="166"/>
      <c r="BMY42" s="166"/>
      <c r="BMZ42" s="166"/>
      <c r="BNA42" s="166"/>
      <c r="BNB42" s="166"/>
      <c r="BNC42" s="166"/>
      <c r="BND42" s="166"/>
      <c r="BNE42" s="166"/>
      <c r="BNF42" s="166"/>
      <c r="BNG42" s="166"/>
      <c r="BNH42" s="166"/>
      <c r="BNI42" s="166"/>
      <c r="BNJ42" s="166"/>
      <c r="BNK42" s="166"/>
      <c r="BNL42" s="166"/>
      <c r="BNM42" s="166"/>
      <c r="BNN42" s="166"/>
      <c r="BNO42" s="166"/>
      <c r="BNP42" s="166"/>
      <c r="BNQ42" s="166"/>
      <c r="BNR42" s="166"/>
      <c r="BNS42" s="166"/>
      <c r="BNT42" s="166"/>
      <c r="BNU42" s="166"/>
      <c r="BNV42" s="166"/>
      <c r="BNW42" s="166"/>
      <c r="BNX42" s="166"/>
      <c r="BNY42" s="166"/>
      <c r="BNZ42" s="166"/>
      <c r="BOA42" s="166"/>
      <c r="BOB42" s="166"/>
      <c r="BOC42" s="166"/>
      <c r="BOD42" s="166"/>
      <c r="BOE42" s="166"/>
      <c r="BOF42" s="166"/>
      <c r="BOG42" s="166"/>
      <c r="BOH42" s="166"/>
      <c r="BOI42" s="166"/>
      <c r="BOJ42" s="166"/>
      <c r="BOK42" s="166"/>
      <c r="BOL42" s="166"/>
      <c r="BOM42" s="166"/>
      <c r="BON42" s="166"/>
      <c r="BOO42" s="166"/>
      <c r="BOP42" s="166"/>
      <c r="BOQ42" s="166"/>
      <c r="BOR42" s="166"/>
      <c r="BOS42" s="166"/>
      <c r="BOT42" s="166"/>
      <c r="BOU42" s="166"/>
      <c r="BOV42" s="166"/>
      <c r="BOW42" s="166"/>
      <c r="BOX42" s="166"/>
      <c r="BOY42" s="166"/>
      <c r="BOZ42" s="166"/>
      <c r="BPA42" s="166"/>
      <c r="BPB42" s="166"/>
      <c r="BPC42" s="166"/>
      <c r="BPD42" s="166"/>
      <c r="BPE42" s="166"/>
      <c r="BPF42" s="166"/>
      <c r="BPG42" s="166"/>
      <c r="BPH42" s="166"/>
      <c r="BPI42" s="166"/>
      <c r="BPJ42" s="166"/>
      <c r="BPK42" s="166"/>
      <c r="BPL42" s="166"/>
      <c r="BPM42" s="166"/>
      <c r="BPN42" s="166"/>
      <c r="BPO42" s="166"/>
      <c r="BPP42" s="166"/>
      <c r="BPQ42" s="166"/>
      <c r="BPR42" s="166"/>
      <c r="BPS42" s="166"/>
      <c r="BPT42" s="166"/>
      <c r="BPU42" s="166"/>
      <c r="BPV42" s="166"/>
      <c r="BPW42" s="166"/>
      <c r="BPX42" s="166"/>
      <c r="BPY42" s="166"/>
      <c r="BPZ42" s="166"/>
      <c r="BQA42" s="166"/>
      <c r="BQB42" s="166"/>
      <c r="BQC42" s="166"/>
      <c r="BQD42" s="166"/>
      <c r="BQE42" s="166"/>
      <c r="BQF42" s="166"/>
      <c r="BQG42" s="166"/>
      <c r="BQH42" s="166"/>
      <c r="BQI42" s="166"/>
      <c r="BQJ42" s="166"/>
      <c r="BQK42" s="166"/>
      <c r="BQL42" s="166"/>
      <c r="BQM42" s="166"/>
      <c r="BQN42" s="166"/>
      <c r="BQO42" s="166"/>
      <c r="BQP42" s="166"/>
      <c r="BQQ42" s="166"/>
      <c r="BQR42" s="166"/>
      <c r="BQS42" s="166"/>
      <c r="BQT42" s="166"/>
      <c r="BQU42" s="166"/>
      <c r="BQV42" s="166"/>
      <c r="BQW42" s="166"/>
      <c r="BQX42" s="166"/>
      <c r="BQY42" s="166"/>
      <c r="BQZ42" s="166"/>
      <c r="BRA42" s="166"/>
      <c r="BRB42" s="166"/>
      <c r="BRC42" s="166"/>
      <c r="BRD42" s="166"/>
      <c r="BRE42" s="166"/>
      <c r="BRF42" s="166"/>
      <c r="BRG42" s="166"/>
      <c r="BRH42" s="166"/>
      <c r="BRI42" s="166"/>
      <c r="BRJ42" s="166"/>
      <c r="BRK42" s="166"/>
      <c r="BRL42" s="166"/>
      <c r="BRM42" s="166"/>
      <c r="BRN42" s="166"/>
      <c r="BRO42" s="166"/>
      <c r="BRP42" s="166"/>
      <c r="BRQ42" s="166"/>
      <c r="BRR42" s="166"/>
      <c r="BRS42" s="166"/>
      <c r="BRT42" s="166"/>
      <c r="BRU42" s="166"/>
      <c r="BRV42" s="166"/>
      <c r="BRW42" s="166"/>
      <c r="BRX42" s="166"/>
      <c r="BRY42" s="166"/>
      <c r="BRZ42" s="166"/>
      <c r="BSA42" s="166"/>
      <c r="BSB42" s="166"/>
      <c r="BSC42" s="166"/>
      <c r="BSD42" s="166"/>
      <c r="BSE42" s="166"/>
      <c r="BSF42" s="166"/>
      <c r="BSG42" s="166"/>
      <c r="BSH42" s="166"/>
      <c r="BSI42" s="166"/>
      <c r="BSJ42" s="166"/>
      <c r="BSK42" s="166"/>
      <c r="BSL42" s="166"/>
      <c r="BSM42" s="166"/>
      <c r="BSN42" s="166"/>
      <c r="BSO42" s="166"/>
      <c r="BSP42" s="166"/>
      <c r="BSQ42" s="166"/>
      <c r="BSR42" s="166"/>
      <c r="BSS42" s="166"/>
    </row>
    <row r="43" spans="1:1865" ht="20.100000000000001" customHeight="1" x14ac:dyDescent="0.25">
      <c r="A43" s="100" t="s">
        <v>20</v>
      </c>
      <c r="B43" s="63" t="str">
        <f>IF(LEN(C71)=0,"",C71)</f>
        <v/>
      </c>
      <c r="C43" s="207" t="s">
        <v>98</v>
      </c>
      <c r="D43" s="146" t="str">
        <f t="shared" si="0"/>
        <v>9h40min</v>
      </c>
      <c r="E43" s="31">
        <v>116</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169"/>
      <c r="APE43" s="171"/>
      <c r="APF43" s="169"/>
      <c r="APG43" s="169"/>
      <c r="APH43" s="169"/>
      <c r="API43" s="169"/>
      <c r="APJ43" s="169"/>
      <c r="APK43" s="181"/>
      <c r="APL43" s="169"/>
      <c r="APM43" s="169"/>
      <c r="APN43" s="169"/>
      <c r="APO43" s="169"/>
      <c r="APP43" s="169"/>
      <c r="APQ43" s="171"/>
      <c r="APR43" s="169"/>
      <c r="APS43" s="169"/>
      <c r="APT43" s="169"/>
      <c r="APU43" s="169"/>
      <c r="APV43" s="169"/>
      <c r="APW43" s="181"/>
      <c r="APX43" s="168"/>
      <c r="APY43" s="168"/>
      <c r="APZ43" s="168"/>
      <c r="AQA43" s="168"/>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67"/>
      <c r="ARC43" s="168"/>
      <c r="ARD43" s="168"/>
      <c r="ARE43" s="168"/>
      <c r="ARF43" s="169"/>
      <c r="ARG43" s="170"/>
      <c r="ARH43" s="169"/>
      <c r="ARI43" s="169"/>
      <c r="ARJ43" s="169"/>
      <c r="ARK43" s="169"/>
      <c r="ARL43" s="169"/>
      <c r="ARM43" s="171"/>
      <c r="ARN43" s="169"/>
      <c r="ARO43" s="169"/>
      <c r="ARP43" s="169"/>
      <c r="ARQ43" s="169"/>
      <c r="ARR43" s="169"/>
      <c r="ARS43" s="181"/>
      <c r="ART43" s="169"/>
      <c r="ARU43" s="169"/>
      <c r="ARV43" s="169"/>
      <c r="ARW43" s="169"/>
      <c r="ARX43" s="169"/>
      <c r="ARY43" s="171"/>
      <c r="ARZ43" s="169"/>
      <c r="ASA43" s="169"/>
      <c r="ASB43" s="169"/>
      <c r="ASC43" s="169"/>
      <c r="ASD43" s="169"/>
      <c r="ASE43" s="181"/>
      <c r="ASF43" s="168"/>
      <c r="ASG43" s="168"/>
      <c r="ASH43" s="168"/>
      <c r="ASI43" s="168"/>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167"/>
      <c r="ATK43" s="168"/>
      <c r="ATL43" s="168"/>
      <c r="ATM43" s="168"/>
      <c r="ATN43" s="169"/>
      <c r="ATO43" s="170"/>
      <c r="ATP43" s="169"/>
      <c r="ATQ43" s="169"/>
      <c r="ATR43" s="169"/>
      <c r="ATS43" s="169"/>
      <c r="ATT43" s="169"/>
      <c r="ATU43" s="171"/>
      <c r="ATV43" s="169"/>
      <c r="ATW43" s="169"/>
      <c r="ATX43" s="169"/>
      <c r="ATY43" s="169"/>
      <c r="ATZ43" s="169"/>
      <c r="AUA43" s="181"/>
      <c r="AUB43" s="169"/>
      <c r="AUC43" s="169"/>
      <c r="AUD43" s="169"/>
      <c r="AUE43" s="169"/>
      <c r="AUF43" s="169"/>
      <c r="AUG43" s="171"/>
      <c r="AUH43" s="169"/>
      <c r="AUI43" s="169"/>
      <c r="AUJ43" s="169"/>
      <c r="AUK43" s="169"/>
      <c r="AUL43" s="169"/>
      <c r="AUM43" s="181"/>
      <c r="AUN43" s="168"/>
      <c r="AUO43" s="168"/>
      <c r="AUP43" s="168"/>
      <c r="AUQ43" s="168"/>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167"/>
      <c r="AVS43" s="168"/>
      <c r="AVT43" s="168"/>
      <c r="AVU43" s="168"/>
      <c r="AVV43" s="169"/>
      <c r="AVW43" s="170"/>
      <c r="AVX43" s="169"/>
      <c r="AVY43" s="169"/>
      <c r="AVZ43" s="169"/>
      <c r="AWA43" s="169"/>
      <c r="AWB43" s="169"/>
      <c r="AWC43" s="171"/>
      <c r="AWD43" s="169"/>
      <c r="AWE43" s="169"/>
      <c r="AWF43" s="169"/>
      <c r="AWG43" s="169"/>
      <c r="AWH43" s="169"/>
      <c r="AWI43" s="181"/>
      <c r="AWJ43" s="169"/>
      <c r="AWK43" s="169"/>
      <c r="AWL43" s="169"/>
      <c r="AWM43" s="169"/>
      <c r="AWN43" s="169"/>
      <c r="AWO43" s="171"/>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165"/>
      <c r="BHG43" s="166"/>
      <c r="BHH43" s="166"/>
      <c r="BHI43" s="166"/>
      <c r="BHJ43" s="166"/>
      <c r="BHK43" s="166"/>
      <c r="BHL43" s="166"/>
      <c r="BHM43" s="166"/>
      <c r="BHN43" s="166"/>
      <c r="BHO43" s="166"/>
      <c r="BHP43" s="166"/>
      <c r="BHQ43" s="166"/>
      <c r="BHR43" s="166"/>
      <c r="BHS43" s="166"/>
      <c r="BHT43" s="166"/>
      <c r="BHU43" s="166"/>
      <c r="BHV43" s="166"/>
      <c r="BHW43" s="166"/>
      <c r="BHX43" s="166"/>
      <c r="BHY43" s="166"/>
      <c r="BHZ43" s="166"/>
      <c r="BIA43" s="166"/>
      <c r="BIB43" s="166"/>
      <c r="BIC43" s="166"/>
      <c r="BID43" s="166"/>
      <c r="BIE43" s="166"/>
      <c r="BIF43" s="166"/>
      <c r="BIG43" s="166"/>
      <c r="BIH43" s="166"/>
      <c r="BII43" s="166"/>
      <c r="BIJ43" s="166"/>
      <c r="BIK43" s="166"/>
      <c r="BIL43" s="166"/>
      <c r="BIM43" s="166"/>
      <c r="BIN43" s="166"/>
      <c r="BIO43" s="166"/>
      <c r="BIP43" s="166"/>
      <c r="BIQ43" s="166"/>
      <c r="BIR43" s="166"/>
      <c r="BIS43" s="166"/>
      <c r="BIT43" s="166"/>
      <c r="BIU43" s="166"/>
      <c r="BIV43" s="166"/>
      <c r="BIW43" s="166"/>
      <c r="BIX43" s="166"/>
      <c r="BIY43" s="166"/>
      <c r="BIZ43" s="166"/>
      <c r="BJA43" s="166"/>
      <c r="BJB43" s="166"/>
      <c r="BJC43" s="166"/>
      <c r="BJD43" s="166"/>
      <c r="BJE43" s="166"/>
      <c r="BJF43" s="166"/>
      <c r="BJG43" s="166"/>
      <c r="BJH43" s="166"/>
      <c r="BJI43" s="166"/>
      <c r="BJJ43" s="166"/>
      <c r="BJK43" s="166"/>
      <c r="BJL43" s="166"/>
      <c r="BJM43" s="166"/>
      <c r="BJN43" s="166"/>
      <c r="BJO43" s="166"/>
      <c r="BJP43" s="166"/>
      <c r="BJQ43" s="166"/>
      <c r="BJR43" s="166"/>
      <c r="BJS43" s="166"/>
      <c r="BJT43" s="166"/>
      <c r="BJU43" s="166"/>
      <c r="BJV43" s="166"/>
      <c r="BJW43" s="166"/>
      <c r="BJX43" s="166"/>
      <c r="BJY43" s="166"/>
      <c r="BJZ43" s="166"/>
      <c r="BKA43" s="166"/>
      <c r="BKB43" s="166"/>
      <c r="BKC43" s="166"/>
      <c r="BKD43" s="166"/>
      <c r="BKE43" s="166"/>
      <c r="BKF43" s="166"/>
      <c r="BKG43" s="166"/>
      <c r="BKH43" s="166"/>
      <c r="BKI43" s="166"/>
      <c r="BKJ43" s="166"/>
      <c r="BKK43" s="166"/>
      <c r="BKL43" s="166"/>
      <c r="BKM43" s="166"/>
      <c r="BKN43" s="166"/>
      <c r="BKO43" s="166"/>
      <c r="BKP43" s="166"/>
      <c r="BKQ43" s="166"/>
      <c r="BKR43" s="166"/>
      <c r="BKS43" s="166"/>
      <c r="BKT43" s="166"/>
      <c r="BKU43" s="166"/>
      <c r="BKV43" s="166"/>
      <c r="BKW43" s="166"/>
      <c r="BKX43" s="166"/>
      <c r="BKY43" s="166"/>
      <c r="BKZ43" s="166"/>
      <c r="BLA43" s="166"/>
      <c r="BLB43" s="166"/>
      <c r="BLC43" s="166"/>
      <c r="BLD43" s="166"/>
      <c r="BLE43" s="166"/>
      <c r="BLF43" s="166"/>
      <c r="BLG43" s="166"/>
      <c r="BLH43" s="166"/>
      <c r="BLI43" s="166"/>
      <c r="BLJ43" s="166"/>
      <c r="BLK43" s="166"/>
      <c r="BLL43" s="166"/>
      <c r="BLM43" s="166"/>
      <c r="BLN43" s="166"/>
      <c r="BLO43" s="166"/>
      <c r="BLP43" s="166"/>
      <c r="BLQ43" s="166"/>
      <c r="BLR43" s="166"/>
      <c r="BLS43" s="166"/>
      <c r="BLT43" s="166"/>
      <c r="BLU43" s="166"/>
      <c r="BLV43" s="166"/>
      <c r="BLW43" s="166"/>
      <c r="BLX43" s="166"/>
      <c r="BLY43" s="166"/>
      <c r="BLZ43" s="166"/>
      <c r="BMA43" s="166"/>
      <c r="BMB43" s="166"/>
      <c r="BMC43" s="166"/>
      <c r="BMD43" s="166"/>
      <c r="BME43" s="166"/>
      <c r="BMF43" s="166"/>
      <c r="BMG43" s="166"/>
      <c r="BMH43" s="166"/>
      <c r="BMI43" s="166"/>
      <c r="BMJ43" s="166"/>
      <c r="BMK43" s="166"/>
      <c r="BML43" s="166"/>
      <c r="BMM43" s="166"/>
      <c r="BMN43" s="166"/>
      <c r="BMO43" s="166"/>
      <c r="BMP43" s="166"/>
      <c r="BMQ43" s="166"/>
      <c r="BMR43" s="166"/>
      <c r="BMS43" s="166"/>
      <c r="BMT43" s="166"/>
      <c r="BMU43" s="166"/>
      <c r="BMV43" s="166"/>
      <c r="BMW43" s="166"/>
      <c r="BMX43" s="166"/>
      <c r="BMY43" s="166"/>
      <c r="BMZ43" s="166"/>
      <c r="BNA43" s="166"/>
      <c r="BNB43" s="166"/>
      <c r="BNC43" s="166"/>
      <c r="BND43" s="166"/>
      <c r="BNE43" s="166"/>
      <c r="BNF43" s="166"/>
      <c r="BNG43" s="166"/>
      <c r="BNH43" s="166"/>
      <c r="BNI43" s="166"/>
      <c r="BNJ43" s="166"/>
      <c r="BNK43" s="166"/>
      <c r="BNL43" s="166"/>
      <c r="BNM43" s="166"/>
      <c r="BNN43" s="166"/>
      <c r="BNO43" s="166"/>
      <c r="BNP43" s="166"/>
      <c r="BNQ43" s="166"/>
      <c r="BNR43" s="166"/>
      <c r="BNS43" s="166"/>
      <c r="BNT43" s="166"/>
      <c r="BNU43" s="166"/>
      <c r="BNV43" s="166"/>
      <c r="BNW43" s="166"/>
      <c r="BNX43" s="166"/>
      <c r="BNY43" s="166"/>
      <c r="BNZ43" s="166"/>
      <c r="BOA43" s="166"/>
      <c r="BOB43" s="166"/>
      <c r="BOC43" s="166"/>
      <c r="BOD43" s="166"/>
      <c r="BOE43" s="166"/>
      <c r="BOF43" s="166"/>
      <c r="BOG43" s="166"/>
      <c r="BOH43" s="166"/>
      <c r="BOI43" s="166"/>
      <c r="BOJ43" s="166"/>
      <c r="BOK43" s="166"/>
      <c r="BOL43" s="166"/>
      <c r="BOM43" s="166"/>
      <c r="BON43" s="166"/>
      <c r="BOO43" s="166"/>
      <c r="BOP43" s="166"/>
      <c r="BOQ43" s="166"/>
      <c r="BOR43" s="166"/>
      <c r="BOS43" s="166"/>
      <c r="BOT43" s="166"/>
      <c r="BOU43" s="166"/>
      <c r="BOV43" s="166"/>
      <c r="BOW43" s="166"/>
      <c r="BOX43" s="166"/>
      <c r="BOY43" s="166"/>
      <c r="BOZ43" s="166"/>
      <c r="BPA43" s="166"/>
      <c r="BPB43" s="166"/>
      <c r="BPC43" s="166"/>
      <c r="BPD43" s="166"/>
      <c r="BPE43" s="166"/>
      <c r="BPF43" s="166"/>
      <c r="BPG43" s="166"/>
      <c r="BPH43" s="166"/>
      <c r="BPI43" s="166"/>
      <c r="BPJ43" s="166"/>
      <c r="BPK43" s="166"/>
      <c r="BPL43" s="166"/>
      <c r="BPM43" s="166"/>
      <c r="BPN43" s="166"/>
      <c r="BPO43" s="166"/>
      <c r="BPP43" s="166"/>
      <c r="BPQ43" s="166"/>
      <c r="BPR43" s="166"/>
      <c r="BPS43" s="166"/>
      <c r="BPT43" s="166"/>
      <c r="BPU43" s="166"/>
      <c r="BPV43" s="166"/>
      <c r="BPW43" s="166"/>
      <c r="BPX43" s="166"/>
      <c r="BPY43" s="166"/>
      <c r="BPZ43" s="166"/>
      <c r="BQA43" s="166"/>
      <c r="BQB43" s="166"/>
      <c r="BQC43" s="166"/>
      <c r="BQD43" s="166"/>
      <c r="BQE43" s="166"/>
      <c r="BQF43" s="166"/>
      <c r="BQG43" s="166"/>
      <c r="BQH43" s="166"/>
      <c r="BQI43" s="166"/>
      <c r="BQJ43" s="166"/>
      <c r="BQK43" s="166"/>
      <c r="BQL43" s="166"/>
      <c r="BQM43" s="166"/>
      <c r="BQN43" s="166"/>
      <c r="BQO43" s="166"/>
      <c r="BQP43" s="166"/>
      <c r="BQQ43" s="166"/>
      <c r="BQR43" s="166"/>
      <c r="BQS43" s="166"/>
      <c r="BQT43" s="166"/>
      <c r="BQU43" s="166"/>
      <c r="BQV43" s="166"/>
      <c r="BQW43" s="166"/>
      <c r="BQX43" s="166"/>
      <c r="BQY43" s="166"/>
      <c r="BQZ43" s="166"/>
      <c r="BRA43" s="166"/>
      <c r="BRB43" s="166"/>
      <c r="BRC43" s="166"/>
      <c r="BRD43" s="166"/>
      <c r="BRE43" s="166"/>
      <c r="BRF43" s="166"/>
      <c r="BRG43" s="166"/>
      <c r="BRH43" s="166"/>
      <c r="BRI43" s="166"/>
      <c r="BRJ43" s="166"/>
      <c r="BRK43" s="166"/>
      <c r="BRL43" s="166"/>
      <c r="BRM43" s="166"/>
      <c r="BRN43" s="166"/>
      <c r="BRO43" s="166"/>
      <c r="BRP43" s="166"/>
      <c r="BRQ43" s="166"/>
      <c r="BRR43" s="166"/>
      <c r="BRS43" s="166"/>
      <c r="BRT43" s="166"/>
      <c r="BRU43" s="166"/>
      <c r="BRV43" s="166"/>
      <c r="BRW43" s="166"/>
      <c r="BRX43" s="166"/>
      <c r="BRY43" s="166"/>
      <c r="BRZ43" s="166"/>
      <c r="BSA43" s="166"/>
      <c r="BSB43" s="166"/>
      <c r="BSC43" s="166"/>
      <c r="BSD43" s="166"/>
      <c r="BSE43" s="166"/>
      <c r="BSF43" s="166"/>
      <c r="BSG43" s="166"/>
      <c r="BSH43" s="166"/>
      <c r="BSI43" s="166"/>
      <c r="BSJ43" s="166"/>
      <c r="BSK43" s="166"/>
      <c r="BSL43" s="166"/>
      <c r="BSM43" s="166"/>
      <c r="BSN43" s="166"/>
      <c r="BSO43" s="166"/>
      <c r="BSP43" s="166"/>
      <c r="BSQ43" s="166"/>
      <c r="BSR43" s="166"/>
      <c r="BSS43" s="166"/>
    </row>
    <row r="44" spans="1:1865" ht="20.100000000000001" customHeight="1" x14ac:dyDescent="0.3">
      <c r="A44" s="100" t="s">
        <v>21</v>
      </c>
      <c r="B44" s="63" t="str">
        <f>IF(LEN(C73)=0,"",C73)</f>
        <v/>
      </c>
      <c r="C44" s="208"/>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165"/>
      <c r="BHG44" s="166"/>
      <c r="BHH44" s="166"/>
      <c r="BHI44" s="166"/>
      <c r="BHJ44" s="166"/>
      <c r="BHK44" s="166"/>
      <c r="BHL44" s="166"/>
      <c r="BHM44" s="166"/>
      <c r="BHN44" s="166"/>
      <c r="BHO44" s="166"/>
      <c r="BHP44" s="166"/>
      <c r="BHQ44" s="166"/>
      <c r="BHR44" s="166"/>
      <c r="BHS44" s="166"/>
      <c r="BHT44" s="166"/>
      <c r="BHU44" s="166"/>
      <c r="BHV44" s="166"/>
      <c r="BHW44" s="166"/>
      <c r="BHX44" s="166"/>
      <c r="BHY44" s="166"/>
      <c r="BHZ44" s="166"/>
      <c r="BIA44" s="166"/>
      <c r="BIB44" s="166"/>
      <c r="BIC44" s="166"/>
      <c r="BID44" s="166"/>
      <c r="BIE44" s="166"/>
      <c r="BIF44" s="166"/>
      <c r="BIG44" s="166"/>
      <c r="BIH44" s="166"/>
      <c r="BII44" s="166"/>
      <c r="BIJ44" s="166"/>
      <c r="BIK44" s="166"/>
      <c r="BIL44" s="166"/>
      <c r="BIM44" s="166"/>
      <c r="BIN44" s="166"/>
      <c r="BIO44" s="166"/>
      <c r="BIP44" s="166"/>
      <c r="BIQ44" s="166"/>
      <c r="BIR44" s="166"/>
      <c r="BIS44" s="166"/>
      <c r="BIT44" s="166"/>
      <c r="BIU44" s="166"/>
      <c r="BIV44" s="166"/>
      <c r="BIW44" s="166"/>
      <c r="BIX44" s="166"/>
      <c r="BIY44" s="166"/>
      <c r="BIZ44" s="166"/>
      <c r="BJA44" s="166"/>
      <c r="BJB44" s="166"/>
      <c r="BJC44" s="166"/>
      <c r="BJD44" s="166"/>
      <c r="BJE44" s="166"/>
      <c r="BJF44" s="166"/>
      <c r="BJG44" s="166"/>
      <c r="BJH44" s="166"/>
      <c r="BJI44" s="166"/>
      <c r="BJJ44" s="166"/>
      <c r="BJK44" s="166"/>
      <c r="BJL44" s="166"/>
      <c r="BJM44" s="166"/>
      <c r="BJN44" s="166"/>
      <c r="BJO44" s="166"/>
      <c r="BJP44" s="166"/>
      <c r="BJQ44" s="166"/>
      <c r="BJR44" s="166"/>
      <c r="BJS44" s="166"/>
      <c r="BJT44" s="166"/>
      <c r="BJU44" s="166"/>
      <c r="BJV44" s="166"/>
      <c r="BJW44" s="166"/>
      <c r="BJX44" s="166"/>
      <c r="BJY44" s="166"/>
      <c r="BJZ44" s="166"/>
      <c r="BKA44" s="166"/>
      <c r="BKB44" s="166"/>
      <c r="BKC44" s="166"/>
      <c r="BKD44" s="166"/>
      <c r="BKE44" s="166"/>
      <c r="BKF44" s="166"/>
      <c r="BKG44" s="166"/>
      <c r="BKH44" s="166"/>
      <c r="BKI44" s="166"/>
      <c r="BKJ44" s="166"/>
      <c r="BKK44" s="166"/>
      <c r="BKL44" s="166"/>
      <c r="BKM44" s="166"/>
      <c r="BKN44" s="166"/>
      <c r="BKO44" s="166"/>
      <c r="BKP44" s="166"/>
      <c r="BKQ44" s="166"/>
      <c r="BKR44" s="166"/>
      <c r="BKS44" s="166"/>
      <c r="BKT44" s="166"/>
      <c r="BKU44" s="166"/>
      <c r="BKV44" s="166"/>
      <c r="BKW44" s="166"/>
      <c r="BKX44" s="166"/>
      <c r="BKY44" s="166"/>
      <c r="BKZ44" s="166"/>
      <c r="BLA44" s="166"/>
      <c r="BLB44" s="166"/>
      <c r="BLC44" s="166"/>
      <c r="BLD44" s="166"/>
      <c r="BLE44" s="166"/>
      <c r="BLF44" s="166"/>
      <c r="BLG44" s="166"/>
      <c r="BLH44" s="166"/>
      <c r="BLI44" s="166"/>
      <c r="BLJ44" s="166"/>
      <c r="BLK44" s="166"/>
      <c r="BLL44" s="166"/>
      <c r="BLM44" s="166"/>
      <c r="BLN44" s="166"/>
      <c r="BLO44" s="166"/>
      <c r="BLP44" s="166"/>
      <c r="BLQ44" s="166"/>
      <c r="BLR44" s="166"/>
      <c r="BLS44" s="166"/>
      <c r="BLT44" s="166"/>
      <c r="BLU44" s="166"/>
      <c r="BLV44" s="166"/>
      <c r="BLW44" s="166"/>
      <c r="BLX44" s="166"/>
      <c r="BLY44" s="166"/>
      <c r="BLZ44" s="166"/>
      <c r="BMA44" s="166"/>
      <c r="BMB44" s="166"/>
      <c r="BMC44" s="166"/>
      <c r="BMD44" s="166"/>
      <c r="BME44" s="166"/>
      <c r="BMF44" s="166"/>
      <c r="BMG44" s="166"/>
      <c r="BMH44" s="166"/>
      <c r="BMI44" s="166"/>
      <c r="BMJ44" s="166"/>
      <c r="BMK44" s="166"/>
      <c r="BML44" s="166"/>
      <c r="BMM44" s="166"/>
      <c r="BMN44" s="166"/>
      <c r="BMO44" s="166"/>
      <c r="BMP44" s="166"/>
      <c r="BMQ44" s="166"/>
      <c r="BMR44" s="166"/>
      <c r="BMS44" s="166"/>
      <c r="BMT44" s="166"/>
      <c r="BMU44" s="166"/>
      <c r="BMV44" s="166"/>
      <c r="BMW44" s="166"/>
      <c r="BMX44" s="166"/>
      <c r="BMY44" s="166"/>
      <c r="BMZ44" s="166"/>
      <c r="BNA44" s="166"/>
      <c r="BNB44" s="166"/>
      <c r="BNC44" s="166"/>
      <c r="BND44" s="166"/>
      <c r="BNE44" s="166"/>
      <c r="BNF44" s="166"/>
      <c r="BNG44" s="166"/>
      <c r="BNH44" s="166"/>
      <c r="BNI44" s="166"/>
      <c r="BNJ44" s="166"/>
      <c r="BNK44" s="166"/>
      <c r="BNL44" s="166"/>
      <c r="BNM44" s="166"/>
      <c r="BNN44" s="166"/>
      <c r="BNO44" s="166"/>
      <c r="BNP44" s="166"/>
      <c r="BNQ44" s="166"/>
      <c r="BNR44" s="166"/>
      <c r="BNS44" s="166"/>
      <c r="BNT44" s="166"/>
      <c r="BNU44" s="166"/>
      <c r="BNV44" s="166"/>
      <c r="BNW44" s="166"/>
      <c r="BNX44" s="166"/>
      <c r="BNY44" s="166"/>
      <c r="BNZ44" s="166"/>
      <c r="BOA44" s="166"/>
      <c r="BOB44" s="166"/>
      <c r="BOC44" s="166"/>
      <c r="BOD44" s="166"/>
      <c r="BOE44" s="166"/>
      <c r="BOF44" s="166"/>
      <c r="BOG44" s="166"/>
      <c r="BOH44" s="166"/>
      <c r="BOI44" s="166"/>
      <c r="BOJ44" s="166"/>
      <c r="BOK44" s="166"/>
      <c r="BOL44" s="166"/>
      <c r="BOM44" s="166"/>
      <c r="BON44" s="166"/>
      <c r="BOO44" s="166"/>
      <c r="BOP44" s="166"/>
      <c r="BOQ44" s="166"/>
      <c r="BOR44" s="166"/>
      <c r="BOS44" s="166"/>
      <c r="BOT44" s="166"/>
      <c r="BOU44" s="166"/>
      <c r="BOV44" s="166"/>
      <c r="BOW44" s="166"/>
      <c r="BOX44" s="166"/>
      <c r="BOY44" s="166"/>
      <c r="BOZ44" s="166"/>
      <c r="BPA44" s="166"/>
      <c r="BPB44" s="166"/>
      <c r="BPC44" s="166"/>
      <c r="BPD44" s="166"/>
      <c r="BPE44" s="166"/>
      <c r="BPF44" s="166"/>
      <c r="BPG44" s="166"/>
      <c r="BPH44" s="166"/>
      <c r="BPI44" s="166"/>
      <c r="BPJ44" s="166"/>
      <c r="BPK44" s="166"/>
      <c r="BPL44" s="166"/>
      <c r="BPM44" s="166"/>
      <c r="BPN44" s="166"/>
      <c r="BPO44" s="166"/>
      <c r="BPP44" s="166"/>
      <c r="BPQ44" s="166"/>
      <c r="BPR44" s="166"/>
      <c r="BPS44" s="166"/>
      <c r="BPT44" s="166"/>
      <c r="BPU44" s="166"/>
      <c r="BPV44" s="166"/>
      <c r="BPW44" s="166"/>
      <c r="BPX44" s="166"/>
      <c r="BPY44" s="166"/>
      <c r="BPZ44" s="166"/>
      <c r="BQA44" s="166"/>
      <c r="BQB44" s="166"/>
      <c r="BQC44" s="166"/>
      <c r="BQD44" s="166"/>
      <c r="BQE44" s="166"/>
      <c r="BQF44" s="166"/>
      <c r="BQG44" s="166"/>
      <c r="BQH44" s="166"/>
      <c r="BQI44" s="166"/>
      <c r="BQJ44" s="166"/>
      <c r="BQK44" s="166"/>
      <c r="BQL44" s="166"/>
      <c r="BQM44" s="166"/>
      <c r="BQN44" s="166"/>
      <c r="BQO44" s="166"/>
      <c r="BQP44" s="166"/>
      <c r="BQQ44" s="166"/>
      <c r="BQR44" s="166"/>
      <c r="BQS44" s="166"/>
      <c r="BQT44" s="166"/>
      <c r="BQU44" s="166"/>
      <c r="BQV44" s="166"/>
      <c r="BQW44" s="166"/>
      <c r="BQX44" s="166"/>
      <c r="BQY44" s="166"/>
      <c r="BQZ44" s="166"/>
      <c r="BRA44" s="166"/>
      <c r="BRB44" s="166"/>
      <c r="BRC44" s="166"/>
      <c r="BRD44" s="166"/>
      <c r="BRE44" s="166"/>
      <c r="BRF44" s="166"/>
      <c r="BRG44" s="166"/>
      <c r="BRH44" s="166"/>
      <c r="BRI44" s="166"/>
      <c r="BRJ44" s="166"/>
      <c r="BRK44" s="166"/>
      <c r="BRL44" s="166"/>
      <c r="BRM44" s="166"/>
      <c r="BRN44" s="166"/>
      <c r="BRO44" s="166"/>
      <c r="BRP44" s="166"/>
      <c r="BRQ44" s="166"/>
      <c r="BRR44" s="166"/>
      <c r="BRS44" s="166"/>
      <c r="BRT44" s="166"/>
      <c r="BRU44" s="166"/>
      <c r="BRV44" s="166"/>
      <c r="BRW44" s="166"/>
      <c r="BRX44" s="166"/>
      <c r="BRY44" s="166"/>
      <c r="BRZ44" s="166"/>
      <c r="BSA44" s="166"/>
      <c r="BSB44" s="166"/>
      <c r="BSC44" s="166"/>
      <c r="BSD44" s="166"/>
      <c r="BSE44" s="166"/>
      <c r="BSF44" s="166"/>
      <c r="BSG44" s="166"/>
      <c r="BSH44" s="166"/>
      <c r="BSI44" s="166"/>
      <c r="BSJ44" s="166"/>
      <c r="BSK44" s="166"/>
      <c r="BSL44" s="166"/>
      <c r="BSM44" s="166"/>
      <c r="BSN44" s="166"/>
      <c r="BSO44" s="166"/>
      <c r="BSP44" s="166"/>
      <c r="BSQ44" s="166"/>
      <c r="BSR44" s="166"/>
      <c r="BSS44" s="166"/>
    </row>
    <row r="45" spans="1:1865" ht="20.100000000000001" customHeight="1" x14ac:dyDescent="0.25">
      <c r="A45" s="100" t="s">
        <v>20</v>
      </c>
      <c r="B45" s="63" t="str">
        <f>IF(LEN(C75)=0,"",C75)</f>
        <v/>
      </c>
      <c r="C45" s="207" t="s">
        <v>99</v>
      </c>
      <c r="D45" s="146" t="str">
        <f t="shared" si="0"/>
        <v>4h30min</v>
      </c>
      <c r="E45" s="39">
        <v>54</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177"/>
      <c r="AWQ45" s="177"/>
      <c r="AWR45" s="177"/>
      <c r="AWS45" s="177"/>
      <c r="AWT45" s="177"/>
      <c r="AWU45" s="180"/>
      <c r="AWV45" s="176"/>
      <c r="AWW45" s="176"/>
      <c r="AWX45" s="176"/>
      <c r="AWY45" s="176"/>
      <c r="AWZ45" s="177"/>
      <c r="AXA45" s="179"/>
      <c r="AXB45" s="177"/>
      <c r="AXC45" s="177"/>
      <c r="AXD45" s="177"/>
      <c r="AXE45" s="177"/>
      <c r="AXF45" s="177"/>
      <c r="AXG45" s="180"/>
      <c r="AXH45" s="177"/>
      <c r="AXI45" s="177"/>
      <c r="AXJ45" s="41"/>
      <c r="AXK45" s="41"/>
      <c r="AXL45" s="41"/>
      <c r="AXM45" s="139"/>
      <c r="AXN45" s="41"/>
      <c r="AXO45" s="41"/>
      <c r="AXP45" s="41"/>
      <c r="AXQ45" s="41"/>
      <c r="AXR45" s="41"/>
      <c r="AXS45" s="76"/>
      <c r="AXT45" s="41"/>
      <c r="AXU45" s="41"/>
      <c r="AXV45" s="41"/>
      <c r="AXW45" s="41"/>
      <c r="AXX45" s="41"/>
      <c r="AXY45" s="42"/>
      <c r="AXZ45" s="175"/>
      <c r="AYA45" s="176"/>
      <c r="AYB45" s="176"/>
      <c r="AYC45" s="176"/>
      <c r="AYD45" s="177"/>
      <c r="AYE45" s="178"/>
      <c r="AYF45" s="177"/>
      <c r="AYG45" s="177"/>
      <c r="AYH45" s="177"/>
      <c r="AYI45" s="177"/>
      <c r="AYJ45" s="177"/>
      <c r="AYK45" s="179"/>
      <c r="AYL45" s="177"/>
      <c r="AYM45" s="177"/>
      <c r="AYN45" s="177"/>
      <c r="AYO45" s="177"/>
      <c r="AYP45" s="177"/>
      <c r="AYQ45" s="180"/>
      <c r="AYR45" s="177"/>
      <c r="AYS45" s="177"/>
      <c r="AYT45" s="177"/>
      <c r="AYU45" s="177"/>
      <c r="AYV45" s="177"/>
      <c r="AYW45" s="179"/>
      <c r="AYX45" s="177"/>
      <c r="AYY45" s="177"/>
      <c r="AYZ45" s="177"/>
      <c r="AZA45" s="177"/>
      <c r="AZB45" s="177"/>
      <c r="AZC45" s="180"/>
      <c r="AZD45" s="176"/>
      <c r="AZE45" s="176"/>
      <c r="AZF45" s="176"/>
      <c r="AZG45" s="17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165"/>
      <c r="BHG45" s="166"/>
      <c r="BHH45" s="166"/>
      <c r="BHI45" s="166"/>
      <c r="BHJ45" s="166"/>
      <c r="BHK45" s="166"/>
      <c r="BHL45" s="166"/>
      <c r="BHM45" s="166"/>
      <c r="BHN45" s="166"/>
      <c r="BHO45" s="166"/>
      <c r="BHP45" s="166"/>
      <c r="BHQ45" s="166"/>
      <c r="BHR45" s="166"/>
      <c r="BHS45" s="166"/>
      <c r="BHT45" s="166"/>
      <c r="BHU45" s="166"/>
      <c r="BHV45" s="166"/>
      <c r="BHW45" s="166"/>
      <c r="BHX45" s="166"/>
      <c r="BHY45" s="166"/>
      <c r="BHZ45" s="166"/>
      <c r="BIA45" s="166"/>
      <c r="BIB45" s="166"/>
      <c r="BIC45" s="166"/>
      <c r="BID45" s="166"/>
      <c r="BIE45" s="166"/>
      <c r="BIF45" s="166"/>
      <c r="BIG45" s="166"/>
      <c r="BIH45" s="166"/>
      <c r="BII45" s="166"/>
      <c r="BIJ45" s="166"/>
      <c r="BIK45" s="166"/>
      <c r="BIL45" s="166"/>
      <c r="BIM45" s="166"/>
      <c r="BIN45" s="166"/>
      <c r="BIO45" s="166"/>
      <c r="BIP45" s="166"/>
      <c r="BIQ45" s="166"/>
      <c r="BIR45" s="166"/>
      <c r="BIS45" s="166"/>
      <c r="BIT45" s="166"/>
      <c r="BIU45" s="166"/>
      <c r="BIV45" s="166"/>
      <c r="BIW45" s="166"/>
      <c r="BIX45" s="166"/>
      <c r="BIY45" s="166"/>
      <c r="BIZ45" s="166"/>
      <c r="BJA45" s="166"/>
      <c r="BJB45" s="166"/>
      <c r="BJC45" s="166"/>
      <c r="BJD45" s="166"/>
      <c r="BJE45" s="166"/>
      <c r="BJF45" s="166"/>
      <c r="BJG45" s="166"/>
      <c r="BJH45" s="166"/>
      <c r="BJI45" s="166"/>
      <c r="BJJ45" s="166"/>
      <c r="BJK45" s="166"/>
      <c r="BJL45" s="166"/>
      <c r="BJM45" s="166"/>
      <c r="BJN45" s="166"/>
      <c r="BJO45" s="166"/>
      <c r="BJP45" s="166"/>
      <c r="BJQ45" s="166"/>
      <c r="BJR45" s="166"/>
      <c r="BJS45" s="166"/>
      <c r="BJT45" s="166"/>
      <c r="BJU45" s="166"/>
      <c r="BJV45" s="166"/>
      <c r="BJW45" s="166"/>
      <c r="BJX45" s="166"/>
      <c r="BJY45" s="166"/>
      <c r="BJZ45" s="166"/>
      <c r="BKA45" s="166"/>
      <c r="BKB45" s="166"/>
      <c r="BKC45" s="166"/>
      <c r="BKD45" s="166"/>
      <c r="BKE45" s="166"/>
      <c r="BKF45" s="166"/>
      <c r="BKG45" s="166"/>
      <c r="BKH45" s="166"/>
      <c r="BKI45" s="166"/>
      <c r="BKJ45" s="166"/>
      <c r="BKK45" s="166"/>
      <c r="BKL45" s="166"/>
      <c r="BKM45" s="166"/>
      <c r="BKN45" s="166"/>
      <c r="BKO45" s="166"/>
      <c r="BKP45" s="166"/>
      <c r="BKQ45" s="166"/>
      <c r="BKR45" s="166"/>
      <c r="BKS45" s="166"/>
      <c r="BKT45" s="166"/>
      <c r="BKU45" s="166"/>
      <c r="BKV45" s="166"/>
      <c r="BKW45" s="166"/>
      <c r="BKX45" s="166"/>
      <c r="BKY45" s="166"/>
      <c r="BKZ45" s="166"/>
      <c r="BLA45" s="166"/>
      <c r="BLB45" s="166"/>
      <c r="BLC45" s="166"/>
      <c r="BLD45" s="166"/>
      <c r="BLE45" s="166"/>
      <c r="BLF45" s="166"/>
      <c r="BLG45" s="166"/>
      <c r="BLH45" s="166"/>
      <c r="BLI45" s="166"/>
      <c r="BLJ45" s="166"/>
      <c r="BLK45" s="166"/>
      <c r="BLL45" s="166"/>
      <c r="BLM45" s="166"/>
      <c r="BLN45" s="166"/>
      <c r="BLO45" s="166"/>
      <c r="BLP45" s="166"/>
      <c r="BLQ45" s="166"/>
      <c r="BLR45" s="166"/>
      <c r="BLS45" s="166"/>
      <c r="BLT45" s="166"/>
      <c r="BLU45" s="166"/>
      <c r="BLV45" s="166"/>
      <c r="BLW45" s="166"/>
      <c r="BLX45" s="166"/>
      <c r="BLY45" s="166"/>
      <c r="BLZ45" s="166"/>
      <c r="BMA45" s="166"/>
      <c r="BMB45" s="166"/>
      <c r="BMC45" s="166"/>
      <c r="BMD45" s="166"/>
      <c r="BME45" s="166"/>
      <c r="BMF45" s="166"/>
      <c r="BMG45" s="166"/>
      <c r="BMH45" s="166"/>
      <c r="BMI45" s="166"/>
      <c r="BMJ45" s="166"/>
      <c r="BMK45" s="166"/>
      <c r="BML45" s="166"/>
      <c r="BMM45" s="166"/>
      <c r="BMN45" s="166"/>
      <c r="BMO45" s="166"/>
      <c r="BMP45" s="166"/>
      <c r="BMQ45" s="166"/>
      <c r="BMR45" s="166"/>
      <c r="BMS45" s="166"/>
      <c r="BMT45" s="166"/>
      <c r="BMU45" s="166"/>
      <c r="BMV45" s="166"/>
      <c r="BMW45" s="166"/>
      <c r="BMX45" s="166"/>
      <c r="BMY45" s="166"/>
      <c r="BMZ45" s="166"/>
      <c r="BNA45" s="166"/>
      <c r="BNB45" s="166"/>
      <c r="BNC45" s="166"/>
      <c r="BND45" s="166"/>
      <c r="BNE45" s="166"/>
      <c r="BNF45" s="166"/>
      <c r="BNG45" s="166"/>
      <c r="BNH45" s="166"/>
      <c r="BNI45" s="166"/>
      <c r="BNJ45" s="166"/>
      <c r="BNK45" s="166"/>
      <c r="BNL45" s="166"/>
      <c r="BNM45" s="166"/>
      <c r="BNN45" s="166"/>
      <c r="BNO45" s="166"/>
      <c r="BNP45" s="166"/>
      <c r="BNQ45" s="166"/>
      <c r="BNR45" s="166"/>
      <c r="BNS45" s="166"/>
      <c r="BNT45" s="166"/>
      <c r="BNU45" s="166"/>
      <c r="BNV45" s="166"/>
      <c r="BNW45" s="166"/>
      <c r="BNX45" s="166"/>
      <c r="BNY45" s="166"/>
      <c r="BNZ45" s="166"/>
      <c r="BOA45" s="166"/>
      <c r="BOB45" s="166"/>
      <c r="BOC45" s="166"/>
      <c r="BOD45" s="166"/>
      <c r="BOE45" s="166"/>
      <c r="BOF45" s="166"/>
      <c r="BOG45" s="166"/>
      <c r="BOH45" s="166"/>
      <c r="BOI45" s="166"/>
      <c r="BOJ45" s="166"/>
      <c r="BOK45" s="166"/>
      <c r="BOL45" s="166"/>
      <c r="BOM45" s="166"/>
      <c r="BON45" s="166"/>
      <c r="BOO45" s="166"/>
      <c r="BOP45" s="166"/>
      <c r="BOQ45" s="166"/>
      <c r="BOR45" s="166"/>
      <c r="BOS45" s="166"/>
      <c r="BOT45" s="166"/>
      <c r="BOU45" s="166"/>
      <c r="BOV45" s="166"/>
      <c r="BOW45" s="166"/>
      <c r="BOX45" s="166"/>
      <c r="BOY45" s="166"/>
      <c r="BOZ45" s="166"/>
      <c r="BPA45" s="166"/>
      <c r="BPB45" s="166"/>
      <c r="BPC45" s="166"/>
      <c r="BPD45" s="166"/>
      <c r="BPE45" s="166"/>
      <c r="BPF45" s="166"/>
      <c r="BPG45" s="166"/>
      <c r="BPH45" s="166"/>
      <c r="BPI45" s="166"/>
      <c r="BPJ45" s="166"/>
      <c r="BPK45" s="166"/>
      <c r="BPL45" s="166"/>
      <c r="BPM45" s="166"/>
      <c r="BPN45" s="166"/>
      <c r="BPO45" s="166"/>
      <c r="BPP45" s="166"/>
      <c r="BPQ45" s="166"/>
      <c r="BPR45" s="166"/>
      <c r="BPS45" s="166"/>
      <c r="BPT45" s="166"/>
      <c r="BPU45" s="166"/>
      <c r="BPV45" s="166"/>
      <c r="BPW45" s="166"/>
      <c r="BPX45" s="166"/>
      <c r="BPY45" s="166"/>
      <c r="BPZ45" s="166"/>
      <c r="BQA45" s="166"/>
      <c r="BQB45" s="166"/>
      <c r="BQC45" s="166"/>
      <c r="BQD45" s="166"/>
      <c r="BQE45" s="166"/>
      <c r="BQF45" s="166"/>
      <c r="BQG45" s="166"/>
      <c r="BQH45" s="166"/>
      <c r="BQI45" s="166"/>
      <c r="BQJ45" s="166"/>
      <c r="BQK45" s="166"/>
      <c r="BQL45" s="166"/>
      <c r="BQM45" s="166"/>
      <c r="BQN45" s="166"/>
      <c r="BQO45" s="166"/>
      <c r="BQP45" s="166"/>
      <c r="BQQ45" s="166"/>
      <c r="BQR45" s="166"/>
      <c r="BQS45" s="166"/>
      <c r="BQT45" s="166"/>
      <c r="BQU45" s="166"/>
      <c r="BQV45" s="166"/>
      <c r="BQW45" s="166"/>
      <c r="BQX45" s="166"/>
      <c r="BQY45" s="166"/>
      <c r="BQZ45" s="166"/>
      <c r="BRA45" s="166"/>
      <c r="BRB45" s="166"/>
      <c r="BRC45" s="166"/>
      <c r="BRD45" s="166"/>
      <c r="BRE45" s="166"/>
      <c r="BRF45" s="166"/>
      <c r="BRG45" s="166"/>
      <c r="BRH45" s="166"/>
      <c r="BRI45" s="166"/>
      <c r="BRJ45" s="166"/>
      <c r="BRK45" s="166"/>
      <c r="BRL45" s="166"/>
      <c r="BRM45" s="166"/>
      <c r="BRN45" s="166"/>
      <c r="BRO45" s="166"/>
      <c r="BRP45" s="166"/>
      <c r="BRQ45" s="166"/>
      <c r="BRR45" s="166"/>
      <c r="BRS45" s="166"/>
      <c r="BRT45" s="166"/>
      <c r="BRU45" s="166"/>
      <c r="BRV45" s="166"/>
      <c r="BRW45" s="166"/>
      <c r="BRX45" s="166"/>
      <c r="BRY45" s="166"/>
      <c r="BRZ45" s="166"/>
      <c r="BSA45" s="166"/>
      <c r="BSB45" s="166"/>
      <c r="BSC45" s="166"/>
      <c r="BSD45" s="166"/>
      <c r="BSE45" s="166"/>
      <c r="BSF45" s="166"/>
      <c r="BSG45" s="166"/>
      <c r="BSH45" s="166"/>
      <c r="BSI45" s="166"/>
      <c r="BSJ45" s="166"/>
      <c r="BSK45" s="166"/>
      <c r="BSL45" s="166"/>
      <c r="BSM45" s="166"/>
      <c r="BSN45" s="166"/>
      <c r="BSO45" s="166"/>
      <c r="BSP45" s="166"/>
      <c r="BSQ45" s="166"/>
      <c r="BSR45" s="166"/>
      <c r="BSS45" s="166"/>
    </row>
    <row r="46" spans="1:1865" ht="20.100000000000001" customHeight="1" x14ac:dyDescent="0.25">
      <c r="A46" s="100" t="s">
        <v>21</v>
      </c>
      <c r="B46" s="63" t="str">
        <f>IF(LEN(C77)=0,"",C77)</f>
        <v/>
      </c>
      <c r="C46" s="208"/>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165"/>
      <c r="BHG46" s="166"/>
      <c r="BHH46" s="166"/>
      <c r="BHI46" s="166"/>
      <c r="BHJ46" s="166"/>
      <c r="BHK46" s="166"/>
      <c r="BHL46" s="166"/>
      <c r="BHM46" s="166"/>
      <c r="BHN46" s="166"/>
      <c r="BHO46" s="166"/>
      <c r="BHP46" s="166"/>
      <c r="BHQ46" s="166"/>
      <c r="BHR46" s="166"/>
      <c r="BHS46" s="166"/>
      <c r="BHT46" s="166"/>
      <c r="BHU46" s="166"/>
      <c r="BHV46" s="166"/>
      <c r="BHW46" s="166"/>
      <c r="BHX46" s="166"/>
      <c r="BHY46" s="166"/>
      <c r="BHZ46" s="166"/>
      <c r="BIA46" s="166"/>
      <c r="BIB46" s="166"/>
      <c r="BIC46" s="166"/>
      <c r="BID46" s="166"/>
      <c r="BIE46" s="166"/>
      <c r="BIF46" s="166"/>
      <c r="BIG46" s="166"/>
      <c r="BIH46" s="166"/>
      <c r="BII46" s="166"/>
      <c r="BIJ46" s="166"/>
      <c r="BIK46" s="166"/>
      <c r="BIL46" s="166"/>
      <c r="BIM46" s="166"/>
      <c r="BIN46" s="166"/>
      <c r="BIO46" s="166"/>
      <c r="BIP46" s="166"/>
      <c r="BIQ46" s="166"/>
      <c r="BIR46" s="166"/>
      <c r="BIS46" s="166"/>
      <c r="BIT46" s="166"/>
      <c r="BIU46" s="166"/>
      <c r="BIV46" s="166"/>
      <c r="BIW46" s="166"/>
      <c r="BIX46" s="166"/>
      <c r="BIY46" s="166"/>
      <c r="BIZ46" s="166"/>
      <c r="BJA46" s="166"/>
      <c r="BJB46" s="166"/>
      <c r="BJC46" s="166"/>
      <c r="BJD46" s="166"/>
      <c r="BJE46" s="166"/>
      <c r="BJF46" s="166"/>
      <c r="BJG46" s="166"/>
      <c r="BJH46" s="166"/>
      <c r="BJI46" s="166"/>
      <c r="BJJ46" s="166"/>
      <c r="BJK46" s="166"/>
      <c r="BJL46" s="166"/>
      <c r="BJM46" s="166"/>
      <c r="BJN46" s="166"/>
      <c r="BJO46" s="166"/>
      <c r="BJP46" s="166"/>
      <c r="BJQ46" s="166"/>
      <c r="BJR46" s="166"/>
      <c r="BJS46" s="166"/>
      <c r="BJT46" s="166"/>
      <c r="BJU46" s="166"/>
      <c r="BJV46" s="166"/>
      <c r="BJW46" s="166"/>
      <c r="BJX46" s="166"/>
      <c r="BJY46" s="166"/>
      <c r="BJZ46" s="166"/>
      <c r="BKA46" s="166"/>
      <c r="BKB46" s="166"/>
      <c r="BKC46" s="166"/>
      <c r="BKD46" s="166"/>
      <c r="BKE46" s="166"/>
      <c r="BKF46" s="166"/>
      <c r="BKG46" s="166"/>
      <c r="BKH46" s="166"/>
      <c r="BKI46" s="166"/>
      <c r="BKJ46" s="166"/>
      <c r="BKK46" s="166"/>
      <c r="BKL46" s="166"/>
      <c r="BKM46" s="166"/>
      <c r="BKN46" s="166"/>
      <c r="BKO46" s="166"/>
      <c r="BKP46" s="166"/>
      <c r="BKQ46" s="166"/>
      <c r="BKR46" s="166"/>
      <c r="BKS46" s="166"/>
      <c r="BKT46" s="166"/>
      <c r="BKU46" s="166"/>
      <c r="BKV46" s="166"/>
      <c r="BKW46" s="166"/>
      <c r="BKX46" s="166"/>
      <c r="BKY46" s="166"/>
      <c r="BKZ46" s="166"/>
      <c r="BLA46" s="166"/>
      <c r="BLB46" s="166"/>
      <c r="BLC46" s="166"/>
      <c r="BLD46" s="166"/>
      <c r="BLE46" s="166"/>
      <c r="BLF46" s="166"/>
      <c r="BLG46" s="166"/>
      <c r="BLH46" s="166"/>
      <c r="BLI46" s="166"/>
      <c r="BLJ46" s="166"/>
      <c r="BLK46" s="166"/>
      <c r="BLL46" s="166"/>
      <c r="BLM46" s="166"/>
      <c r="BLN46" s="166"/>
      <c r="BLO46" s="166"/>
      <c r="BLP46" s="166"/>
      <c r="BLQ46" s="166"/>
      <c r="BLR46" s="166"/>
      <c r="BLS46" s="166"/>
      <c r="BLT46" s="166"/>
      <c r="BLU46" s="166"/>
      <c r="BLV46" s="166"/>
      <c r="BLW46" s="166"/>
      <c r="BLX46" s="166"/>
      <c r="BLY46" s="166"/>
      <c r="BLZ46" s="166"/>
      <c r="BMA46" s="166"/>
      <c r="BMB46" s="166"/>
      <c r="BMC46" s="166"/>
      <c r="BMD46" s="166"/>
      <c r="BME46" s="166"/>
      <c r="BMF46" s="166"/>
      <c r="BMG46" s="166"/>
      <c r="BMH46" s="166"/>
      <c r="BMI46" s="166"/>
      <c r="BMJ46" s="166"/>
      <c r="BMK46" s="166"/>
      <c r="BML46" s="166"/>
      <c r="BMM46" s="166"/>
      <c r="BMN46" s="166"/>
      <c r="BMO46" s="166"/>
      <c r="BMP46" s="166"/>
      <c r="BMQ46" s="166"/>
      <c r="BMR46" s="166"/>
      <c r="BMS46" s="166"/>
      <c r="BMT46" s="166"/>
      <c r="BMU46" s="166"/>
      <c r="BMV46" s="166"/>
      <c r="BMW46" s="166"/>
      <c r="BMX46" s="166"/>
      <c r="BMY46" s="166"/>
      <c r="BMZ46" s="166"/>
      <c r="BNA46" s="166"/>
      <c r="BNB46" s="166"/>
      <c r="BNC46" s="166"/>
      <c r="BND46" s="166"/>
      <c r="BNE46" s="166"/>
      <c r="BNF46" s="166"/>
      <c r="BNG46" s="166"/>
      <c r="BNH46" s="166"/>
      <c r="BNI46" s="166"/>
      <c r="BNJ46" s="166"/>
      <c r="BNK46" s="166"/>
      <c r="BNL46" s="166"/>
      <c r="BNM46" s="166"/>
      <c r="BNN46" s="166"/>
      <c r="BNO46" s="166"/>
      <c r="BNP46" s="166"/>
      <c r="BNQ46" s="166"/>
      <c r="BNR46" s="166"/>
      <c r="BNS46" s="166"/>
      <c r="BNT46" s="166"/>
      <c r="BNU46" s="166"/>
      <c r="BNV46" s="166"/>
      <c r="BNW46" s="166"/>
      <c r="BNX46" s="166"/>
      <c r="BNY46" s="166"/>
      <c r="BNZ46" s="166"/>
      <c r="BOA46" s="166"/>
      <c r="BOB46" s="166"/>
      <c r="BOC46" s="166"/>
      <c r="BOD46" s="166"/>
      <c r="BOE46" s="166"/>
      <c r="BOF46" s="166"/>
      <c r="BOG46" s="166"/>
      <c r="BOH46" s="166"/>
      <c r="BOI46" s="166"/>
      <c r="BOJ46" s="166"/>
      <c r="BOK46" s="166"/>
      <c r="BOL46" s="166"/>
      <c r="BOM46" s="166"/>
      <c r="BON46" s="166"/>
      <c r="BOO46" s="166"/>
      <c r="BOP46" s="166"/>
      <c r="BOQ46" s="166"/>
      <c r="BOR46" s="166"/>
      <c r="BOS46" s="166"/>
      <c r="BOT46" s="166"/>
      <c r="BOU46" s="166"/>
      <c r="BOV46" s="166"/>
      <c r="BOW46" s="166"/>
      <c r="BOX46" s="166"/>
      <c r="BOY46" s="166"/>
      <c r="BOZ46" s="166"/>
      <c r="BPA46" s="166"/>
      <c r="BPB46" s="166"/>
      <c r="BPC46" s="166"/>
      <c r="BPD46" s="166"/>
      <c r="BPE46" s="166"/>
      <c r="BPF46" s="166"/>
      <c r="BPG46" s="166"/>
      <c r="BPH46" s="166"/>
      <c r="BPI46" s="166"/>
      <c r="BPJ46" s="166"/>
      <c r="BPK46" s="166"/>
      <c r="BPL46" s="166"/>
      <c r="BPM46" s="166"/>
      <c r="BPN46" s="166"/>
      <c r="BPO46" s="166"/>
      <c r="BPP46" s="166"/>
      <c r="BPQ46" s="166"/>
      <c r="BPR46" s="166"/>
      <c r="BPS46" s="166"/>
      <c r="BPT46" s="166"/>
      <c r="BPU46" s="166"/>
      <c r="BPV46" s="166"/>
      <c r="BPW46" s="166"/>
      <c r="BPX46" s="166"/>
      <c r="BPY46" s="166"/>
      <c r="BPZ46" s="166"/>
      <c r="BQA46" s="166"/>
      <c r="BQB46" s="166"/>
      <c r="BQC46" s="166"/>
      <c r="BQD46" s="166"/>
      <c r="BQE46" s="166"/>
      <c r="BQF46" s="166"/>
      <c r="BQG46" s="166"/>
      <c r="BQH46" s="166"/>
      <c r="BQI46" s="166"/>
      <c r="BQJ46" s="166"/>
      <c r="BQK46" s="166"/>
      <c r="BQL46" s="166"/>
      <c r="BQM46" s="166"/>
      <c r="BQN46" s="166"/>
      <c r="BQO46" s="166"/>
      <c r="BQP46" s="166"/>
      <c r="BQQ46" s="166"/>
      <c r="BQR46" s="166"/>
      <c r="BQS46" s="166"/>
      <c r="BQT46" s="166"/>
      <c r="BQU46" s="166"/>
      <c r="BQV46" s="166"/>
      <c r="BQW46" s="166"/>
      <c r="BQX46" s="166"/>
      <c r="BQY46" s="166"/>
      <c r="BQZ46" s="166"/>
      <c r="BRA46" s="166"/>
      <c r="BRB46" s="166"/>
      <c r="BRC46" s="166"/>
      <c r="BRD46" s="166"/>
      <c r="BRE46" s="166"/>
      <c r="BRF46" s="166"/>
      <c r="BRG46" s="166"/>
      <c r="BRH46" s="166"/>
      <c r="BRI46" s="166"/>
      <c r="BRJ46" s="166"/>
      <c r="BRK46" s="166"/>
      <c r="BRL46" s="166"/>
      <c r="BRM46" s="166"/>
      <c r="BRN46" s="166"/>
      <c r="BRO46" s="166"/>
      <c r="BRP46" s="166"/>
      <c r="BRQ46" s="166"/>
      <c r="BRR46" s="166"/>
      <c r="BRS46" s="166"/>
      <c r="BRT46" s="166"/>
      <c r="BRU46" s="166"/>
      <c r="BRV46" s="166"/>
      <c r="BRW46" s="166"/>
      <c r="BRX46" s="166"/>
      <c r="BRY46" s="166"/>
      <c r="BRZ46" s="166"/>
      <c r="BSA46" s="166"/>
      <c r="BSB46" s="166"/>
      <c r="BSC46" s="166"/>
      <c r="BSD46" s="166"/>
      <c r="BSE46" s="166"/>
      <c r="BSF46" s="166"/>
      <c r="BSG46" s="166"/>
      <c r="BSH46" s="166"/>
      <c r="BSI46" s="166"/>
      <c r="BSJ46" s="166"/>
      <c r="BSK46" s="166"/>
      <c r="BSL46" s="166"/>
      <c r="BSM46" s="166"/>
      <c r="BSN46" s="166"/>
      <c r="BSO46" s="166"/>
      <c r="BSP46" s="166"/>
      <c r="BSQ46" s="166"/>
      <c r="BSR46" s="166"/>
      <c r="BSS46" s="166"/>
    </row>
    <row r="47" spans="1:1865" ht="20.100000000000001" customHeight="1" x14ac:dyDescent="0.25">
      <c r="A47" s="100" t="s">
        <v>20</v>
      </c>
      <c r="B47" s="63" t="str">
        <f>IF(LEN(C79)=0,"",C79)</f>
        <v/>
      </c>
      <c r="C47" s="207" t="s">
        <v>100</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177"/>
      <c r="AZI47" s="179"/>
      <c r="AZJ47" s="177"/>
      <c r="AZK47" s="177"/>
      <c r="AZL47" s="177"/>
      <c r="AZM47" s="177"/>
      <c r="AZN47" s="177"/>
      <c r="AZO47" s="180"/>
      <c r="AZP47" s="177"/>
      <c r="AZQ47" s="177"/>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165"/>
      <c r="BHG47" s="166"/>
      <c r="BHH47" s="166"/>
      <c r="BHI47" s="166"/>
      <c r="BHJ47" s="166"/>
      <c r="BHK47" s="166"/>
      <c r="BHL47" s="166"/>
      <c r="BHM47" s="166"/>
      <c r="BHN47" s="166"/>
      <c r="BHO47" s="166"/>
      <c r="BHP47" s="166"/>
      <c r="BHQ47" s="166"/>
      <c r="BHR47" s="166"/>
      <c r="BHS47" s="166"/>
      <c r="BHT47" s="166"/>
      <c r="BHU47" s="166"/>
      <c r="BHV47" s="166"/>
      <c r="BHW47" s="166"/>
      <c r="BHX47" s="166"/>
      <c r="BHY47" s="166"/>
      <c r="BHZ47" s="166"/>
      <c r="BIA47" s="166"/>
      <c r="BIB47" s="166"/>
      <c r="BIC47" s="166"/>
      <c r="BID47" s="166"/>
      <c r="BIE47" s="166"/>
      <c r="BIF47" s="166"/>
      <c r="BIG47" s="166"/>
      <c r="BIH47" s="166"/>
      <c r="BII47" s="166"/>
      <c r="BIJ47" s="166"/>
      <c r="BIK47" s="166"/>
      <c r="BIL47" s="166"/>
      <c r="BIM47" s="166"/>
      <c r="BIN47" s="166"/>
      <c r="BIO47" s="166"/>
      <c r="BIP47" s="166"/>
      <c r="BIQ47" s="166"/>
      <c r="BIR47" s="166"/>
      <c r="BIS47" s="166"/>
      <c r="BIT47" s="166"/>
      <c r="BIU47" s="166"/>
      <c r="BIV47" s="166"/>
      <c r="BIW47" s="166"/>
      <c r="BIX47" s="166"/>
      <c r="BIY47" s="166"/>
      <c r="BIZ47" s="166"/>
      <c r="BJA47" s="166"/>
      <c r="BJB47" s="166"/>
      <c r="BJC47" s="166"/>
      <c r="BJD47" s="166"/>
      <c r="BJE47" s="166"/>
      <c r="BJF47" s="166"/>
      <c r="BJG47" s="166"/>
      <c r="BJH47" s="166"/>
      <c r="BJI47" s="166"/>
      <c r="BJJ47" s="166"/>
      <c r="BJK47" s="166"/>
      <c r="BJL47" s="166"/>
      <c r="BJM47" s="166"/>
      <c r="BJN47" s="166"/>
      <c r="BJO47" s="166"/>
      <c r="BJP47" s="166"/>
      <c r="BJQ47" s="166"/>
      <c r="BJR47" s="166"/>
      <c r="BJS47" s="166"/>
      <c r="BJT47" s="166"/>
      <c r="BJU47" s="166"/>
      <c r="BJV47" s="166"/>
      <c r="BJW47" s="166"/>
      <c r="BJX47" s="166"/>
      <c r="BJY47" s="166"/>
      <c r="BJZ47" s="166"/>
      <c r="BKA47" s="166"/>
      <c r="BKB47" s="166"/>
      <c r="BKC47" s="166"/>
      <c r="BKD47" s="166"/>
      <c r="BKE47" s="166"/>
      <c r="BKF47" s="166"/>
      <c r="BKG47" s="166"/>
      <c r="BKH47" s="166"/>
      <c r="BKI47" s="166"/>
      <c r="BKJ47" s="166"/>
      <c r="BKK47" s="166"/>
      <c r="BKL47" s="166"/>
      <c r="BKM47" s="166"/>
      <c r="BKN47" s="166"/>
      <c r="BKO47" s="166"/>
      <c r="BKP47" s="166"/>
      <c r="BKQ47" s="166"/>
      <c r="BKR47" s="166"/>
      <c r="BKS47" s="166"/>
      <c r="BKT47" s="166"/>
      <c r="BKU47" s="166"/>
      <c r="BKV47" s="166"/>
      <c r="BKW47" s="166"/>
      <c r="BKX47" s="166"/>
      <c r="BKY47" s="166"/>
      <c r="BKZ47" s="166"/>
      <c r="BLA47" s="166"/>
      <c r="BLB47" s="166"/>
      <c r="BLC47" s="166"/>
      <c r="BLD47" s="166"/>
      <c r="BLE47" s="166"/>
      <c r="BLF47" s="166"/>
      <c r="BLG47" s="166"/>
      <c r="BLH47" s="166"/>
      <c r="BLI47" s="166"/>
      <c r="BLJ47" s="166"/>
      <c r="BLK47" s="166"/>
      <c r="BLL47" s="166"/>
      <c r="BLM47" s="166"/>
      <c r="BLN47" s="166"/>
      <c r="BLO47" s="166"/>
      <c r="BLP47" s="166"/>
      <c r="BLQ47" s="166"/>
      <c r="BLR47" s="166"/>
      <c r="BLS47" s="166"/>
      <c r="BLT47" s="166"/>
      <c r="BLU47" s="166"/>
      <c r="BLV47" s="166"/>
      <c r="BLW47" s="166"/>
      <c r="BLX47" s="166"/>
      <c r="BLY47" s="166"/>
      <c r="BLZ47" s="166"/>
      <c r="BMA47" s="166"/>
      <c r="BMB47" s="166"/>
      <c r="BMC47" s="166"/>
      <c r="BMD47" s="166"/>
      <c r="BME47" s="166"/>
      <c r="BMF47" s="166"/>
      <c r="BMG47" s="166"/>
      <c r="BMH47" s="166"/>
      <c r="BMI47" s="166"/>
      <c r="BMJ47" s="166"/>
      <c r="BMK47" s="166"/>
      <c r="BML47" s="166"/>
      <c r="BMM47" s="166"/>
      <c r="BMN47" s="166"/>
      <c r="BMO47" s="166"/>
      <c r="BMP47" s="166"/>
      <c r="BMQ47" s="166"/>
      <c r="BMR47" s="166"/>
      <c r="BMS47" s="166"/>
      <c r="BMT47" s="166"/>
      <c r="BMU47" s="166"/>
      <c r="BMV47" s="166"/>
      <c r="BMW47" s="166"/>
      <c r="BMX47" s="166"/>
      <c r="BMY47" s="166"/>
      <c r="BMZ47" s="166"/>
      <c r="BNA47" s="166"/>
      <c r="BNB47" s="166"/>
      <c r="BNC47" s="166"/>
      <c r="BND47" s="166"/>
      <c r="BNE47" s="166"/>
      <c r="BNF47" s="166"/>
      <c r="BNG47" s="166"/>
      <c r="BNH47" s="166"/>
      <c r="BNI47" s="166"/>
      <c r="BNJ47" s="166"/>
      <c r="BNK47" s="166"/>
      <c r="BNL47" s="166"/>
      <c r="BNM47" s="166"/>
      <c r="BNN47" s="166"/>
      <c r="BNO47" s="166"/>
      <c r="BNP47" s="166"/>
      <c r="BNQ47" s="166"/>
      <c r="BNR47" s="166"/>
      <c r="BNS47" s="166"/>
      <c r="BNT47" s="166"/>
      <c r="BNU47" s="166"/>
      <c r="BNV47" s="166"/>
      <c r="BNW47" s="166"/>
      <c r="BNX47" s="166"/>
      <c r="BNY47" s="166"/>
      <c r="BNZ47" s="166"/>
      <c r="BOA47" s="166"/>
      <c r="BOB47" s="166"/>
      <c r="BOC47" s="166"/>
      <c r="BOD47" s="166"/>
      <c r="BOE47" s="166"/>
      <c r="BOF47" s="166"/>
      <c r="BOG47" s="166"/>
      <c r="BOH47" s="166"/>
      <c r="BOI47" s="166"/>
      <c r="BOJ47" s="166"/>
      <c r="BOK47" s="166"/>
      <c r="BOL47" s="166"/>
      <c r="BOM47" s="166"/>
      <c r="BON47" s="166"/>
      <c r="BOO47" s="166"/>
      <c r="BOP47" s="166"/>
      <c r="BOQ47" s="166"/>
      <c r="BOR47" s="166"/>
      <c r="BOS47" s="166"/>
      <c r="BOT47" s="166"/>
      <c r="BOU47" s="166"/>
      <c r="BOV47" s="166"/>
      <c r="BOW47" s="166"/>
      <c r="BOX47" s="166"/>
      <c r="BOY47" s="166"/>
      <c r="BOZ47" s="166"/>
      <c r="BPA47" s="166"/>
      <c r="BPB47" s="166"/>
      <c r="BPC47" s="166"/>
      <c r="BPD47" s="166"/>
      <c r="BPE47" s="166"/>
      <c r="BPF47" s="166"/>
      <c r="BPG47" s="166"/>
      <c r="BPH47" s="166"/>
      <c r="BPI47" s="166"/>
      <c r="BPJ47" s="166"/>
      <c r="BPK47" s="166"/>
      <c r="BPL47" s="166"/>
      <c r="BPM47" s="166"/>
      <c r="BPN47" s="166"/>
      <c r="BPO47" s="166"/>
      <c r="BPP47" s="166"/>
      <c r="BPQ47" s="166"/>
      <c r="BPR47" s="166"/>
      <c r="BPS47" s="166"/>
      <c r="BPT47" s="166"/>
      <c r="BPU47" s="166"/>
      <c r="BPV47" s="166"/>
      <c r="BPW47" s="166"/>
      <c r="BPX47" s="166"/>
      <c r="BPY47" s="166"/>
      <c r="BPZ47" s="166"/>
      <c r="BQA47" s="166"/>
      <c r="BQB47" s="166"/>
      <c r="BQC47" s="166"/>
      <c r="BQD47" s="166"/>
      <c r="BQE47" s="166"/>
      <c r="BQF47" s="166"/>
      <c r="BQG47" s="166"/>
      <c r="BQH47" s="166"/>
      <c r="BQI47" s="166"/>
      <c r="BQJ47" s="166"/>
      <c r="BQK47" s="166"/>
      <c r="BQL47" s="166"/>
      <c r="BQM47" s="166"/>
      <c r="BQN47" s="166"/>
      <c r="BQO47" s="166"/>
      <c r="BQP47" s="166"/>
      <c r="BQQ47" s="166"/>
      <c r="BQR47" s="166"/>
      <c r="BQS47" s="166"/>
      <c r="BQT47" s="166"/>
      <c r="BQU47" s="166"/>
      <c r="BQV47" s="166"/>
      <c r="BQW47" s="166"/>
      <c r="BQX47" s="166"/>
      <c r="BQY47" s="166"/>
      <c r="BQZ47" s="166"/>
      <c r="BRA47" s="166"/>
      <c r="BRB47" s="166"/>
      <c r="BRC47" s="166"/>
      <c r="BRD47" s="166"/>
      <c r="BRE47" s="166"/>
      <c r="BRF47" s="166"/>
      <c r="BRG47" s="166"/>
      <c r="BRH47" s="166"/>
      <c r="BRI47" s="166"/>
      <c r="BRJ47" s="166"/>
      <c r="BRK47" s="166"/>
      <c r="BRL47" s="166"/>
      <c r="BRM47" s="166"/>
      <c r="BRN47" s="166"/>
      <c r="BRO47" s="166"/>
      <c r="BRP47" s="166"/>
      <c r="BRQ47" s="166"/>
      <c r="BRR47" s="166"/>
      <c r="BRS47" s="166"/>
      <c r="BRT47" s="166"/>
      <c r="BRU47" s="166"/>
      <c r="BRV47" s="166"/>
      <c r="BRW47" s="166"/>
      <c r="BRX47" s="166"/>
      <c r="BRY47" s="166"/>
      <c r="BRZ47" s="166"/>
      <c r="BSA47" s="166"/>
      <c r="BSB47" s="166"/>
      <c r="BSC47" s="166"/>
      <c r="BSD47" s="166"/>
      <c r="BSE47" s="166"/>
      <c r="BSF47" s="166"/>
      <c r="BSG47" s="166"/>
      <c r="BSH47" s="166"/>
      <c r="BSI47" s="166"/>
      <c r="BSJ47" s="166"/>
      <c r="BSK47" s="166"/>
      <c r="BSL47" s="166"/>
      <c r="BSM47" s="166"/>
      <c r="BSN47" s="166"/>
      <c r="BSO47" s="166"/>
      <c r="BSP47" s="166"/>
      <c r="BSQ47" s="166"/>
      <c r="BSR47" s="166"/>
      <c r="BSS47" s="166"/>
    </row>
    <row r="48" spans="1:1865" ht="20.100000000000001" customHeight="1" x14ac:dyDescent="0.3">
      <c r="A48" s="100" t="s">
        <v>21</v>
      </c>
      <c r="B48" s="63" t="str">
        <f>IF(LEN(C81)=0,"",C81)</f>
        <v/>
      </c>
      <c r="C48" s="208"/>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165"/>
      <c r="BHG48" s="166"/>
      <c r="BHH48" s="166"/>
      <c r="BHI48" s="166"/>
      <c r="BHJ48" s="166"/>
      <c r="BHK48" s="166"/>
      <c r="BHL48" s="166"/>
      <c r="BHM48" s="166"/>
      <c r="BHN48" s="166"/>
      <c r="BHO48" s="166"/>
      <c r="BHP48" s="166"/>
      <c r="BHQ48" s="166"/>
      <c r="BHR48" s="166"/>
      <c r="BHS48" s="166"/>
      <c r="BHT48" s="166"/>
      <c r="BHU48" s="166"/>
      <c r="BHV48" s="166"/>
      <c r="BHW48" s="166"/>
      <c r="BHX48" s="166"/>
      <c r="BHY48" s="166"/>
      <c r="BHZ48" s="166"/>
      <c r="BIA48" s="166"/>
      <c r="BIB48" s="166"/>
      <c r="BIC48" s="166"/>
      <c r="BID48" s="166"/>
      <c r="BIE48" s="166"/>
      <c r="BIF48" s="166"/>
      <c r="BIG48" s="166"/>
      <c r="BIH48" s="166"/>
      <c r="BII48" s="166"/>
      <c r="BIJ48" s="166"/>
      <c r="BIK48" s="166"/>
      <c r="BIL48" s="166"/>
      <c r="BIM48" s="166"/>
      <c r="BIN48" s="166"/>
      <c r="BIO48" s="166"/>
      <c r="BIP48" s="166"/>
      <c r="BIQ48" s="166"/>
      <c r="BIR48" s="166"/>
      <c r="BIS48" s="166"/>
      <c r="BIT48" s="166"/>
      <c r="BIU48" s="166"/>
      <c r="BIV48" s="166"/>
      <c r="BIW48" s="166"/>
      <c r="BIX48" s="166"/>
      <c r="BIY48" s="166"/>
      <c r="BIZ48" s="166"/>
      <c r="BJA48" s="166"/>
      <c r="BJB48" s="166"/>
      <c r="BJC48" s="166"/>
      <c r="BJD48" s="166"/>
      <c r="BJE48" s="166"/>
      <c r="BJF48" s="166"/>
      <c r="BJG48" s="166"/>
      <c r="BJH48" s="166"/>
      <c r="BJI48" s="166"/>
      <c r="BJJ48" s="166"/>
      <c r="BJK48" s="166"/>
      <c r="BJL48" s="166"/>
      <c r="BJM48" s="166"/>
      <c r="BJN48" s="166"/>
      <c r="BJO48" s="166"/>
      <c r="BJP48" s="166"/>
      <c r="BJQ48" s="166"/>
      <c r="BJR48" s="166"/>
      <c r="BJS48" s="166"/>
      <c r="BJT48" s="166"/>
      <c r="BJU48" s="166"/>
      <c r="BJV48" s="166"/>
      <c r="BJW48" s="166"/>
      <c r="BJX48" s="166"/>
      <c r="BJY48" s="166"/>
      <c r="BJZ48" s="166"/>
      <c r="BKA48" s="166"/>
      <c r="BKB48" s="166"/>
      <c r="BKC48" s="166"/>
      <c r="BKD48" s="166"/>
      <c r="BKE48" s="166"/>
      <c r="BKF48" s="166"/>
      <c r="BKG48" s="166"/>
      <c r="BKH48" s="166"/>
      <c r="BKI48" s="166"/>
      <c r="BKJ48" s="166"/>
      <c r="BKK48" s="166"/>
      <c r="BKL48" s="166"/>
      <c r="BKM48" s="166"/>
      <c r="BKN48" s="166"/>
      <c r="BKO48" s="166"/>
      <c r="BKP48" s="166"/>
      <c r="BKQ48" s="166"/>
      <c r="BKR48" s="166"/>
      <c r="BKS48" s="166"/>
      <c r="BKT48" s="166"/>
      <c r="BKU48" s="166"/>
      <c r="BKV48" s="166"/>
      <c r="BKW48" s="166"/>
      <c r="BKX48" s="166"/>
      <c r="BKY48" s="166"/>
      <c r="BKZ48" s="166"/>
      <c r="BLA48" s="166"/>
      <c r="BLB48" s="166"/>
      <c r="BLC48" s="166"/>
      <c r="BLD48" s="166"/>
      <c r="BLE48" s="166"/>
      <c r="BLF48" s="166"/>
      <c r="BLG48" s="166"/>
      <c r="BLH48" s="166"/>
      <c r="BLI48" s="166"/>
      <c r="BLJ48" s="166"/>
      <c r="BLK48" s="166"/>
      <c r="BLL48" s="166"/>
      <c r="BLM48" s="166"/>
      <c r="BLN48" s="166"/>
      <c r="BLO48" s="166"/>
      <c r="BLP48" s="166"/>
      <c r="BLQ48" s="166"/>
      <c r="BLR48" s="166"/>
      <c r="BLS48" s="166"/>
      <c r="BLT48" s="166"/>
      <c r="BLU48" s="166"/>
      <c r="BLV48" s="166"/>
      <c r="BLW48" s="166"/>
      <c r="BLX48" s="166"/>
      <c r="BLY48" s="166"/>
      <c r="BLZ48" s="166"/>
      <c r="BMA48" s="166"/>
      <c r="BMB48" s="166"/>
      <c r="BMC48" s="166"/>
      <c r="BMD48" s="166"/>
      <c r="BME48" s="166"/>
      <c r="BMF48" s="166"/>
      <c r="BMG48" s="166"/>
      <c r="BMH48" s="166"/>
      <c r="BMI48" s="166"/>
      <c r="BMJ48" s="166"/>
      <c r="BMK48" s="166"/>
      <c r="BML48" s="166"/>
      <c r="BMM48" s="166"/>
      <c r="BMN48" s="166"/>
      <c r="BMO48" s="166"/>
      <c r="BMP48" s="166"/>
      <c r="BMQ48" s="166"/>
      <c r="BMR48" s="166"/>
      <c r="BMS48" s="166"/>
      <c r="BMT48" s="166"/>
      <c r="BMU48" s="166"/>
      <c r="BMV48" s="166"/>
      <c r="BMW48" s="166"/>
      <c r="BMX48" s="166"/>
      <c r="BMY48" s="166"/>
      <c r="BMZ48" s="166"/>
      <c r="BNA48" s="166"/>
      <c r="BNB48" s="166"/>
      <c r="BNC48" s="166"/>
      <c r="BND48" s="166"/>
      <c r="BNE48" s="166"/>
      <c r="BNF48" s="166"/>
      <c r="BNG48" s="166"/>
      <c r="BNH48" s="166"/>
      <c r="BNI48" s="166"/>
      <c r="BNJ48" s="166"/>
      <c r="BNK48" s="166"/>
      <c r="BNL48" s="166"/>
      <c r="BNM48" s="166"/>
      <c r="BNN48" s="166"/>
      <c r="BNO48" s="166"/>
      <c r="BNP48" s="166"/>
      <c r="BNQ48" s="166"/>
      <c r="BNR48" s="166"/>
      <c r="BNS48" s="166"/>
      <c r="BNT48" s="166"/>
      <c r="BNU48" s="166"/>
      <c r="BNV48" s="166"/>
      <c r="BNW48" s="166"/>
      <c r="BNX48" s="166"/>
      <c r="BNY48" s="166"/>
      <c r="BNZ48" s="166"/>
      <c r="BOA48" s="166"/>
      <c r="BOB48" s="166"/>
      <c r="BOC48" s="166"/>
      <c r="BOD48" s="166"/>
      <c r="BOE48" s="166"/>
      <c r="BOF48" s="166"/>
      <c r="BOG48" s="166"/>
      <c r="BOH48" s="166"/>
      <c r="BOI48" s="166"/>
      <c r="BOJ48" s="166"/>
      <c r="BOK48" s="166"/>
      <c r="BOL48" s="166"/>
      <c r="BOM48" s="166"/>
      <c r="BON48" s="166"/>
      <c r="BOO48" s="166"/>
      <c r="BOP48" s="166"/>
      <c r="BOQ48" s="166"/>
      <c r="BOR48" s="166"/>
      <c r="BOS48" s="166"/>
      <c r="BOT48" s="166"/>
      <c r="BOU48" s="166"/>
      <c r="BOV48" s="166"/>
      <c r="BOW48" s="166"/>
      <c r="BOX48" s="166"/>
      <c r="BOY48" s="166"/>
      <c r="BOZ48" s="166"/>
      <c r="BPA48" s="166"/>
      <c r="BPB48" s="166"/>
      <c r="BPC48" s="166"/>
      <c r="BPD48" s="166"/>
      <c r="BPE48" s="166"/>
      <c r="BPF48" s="166"/>
      <c r="BPG48" s="166"/>
      <c r="BPH48" s="166"/>
      <c r="BPI48" s="166"/>
      <c r="BPJ48" s="166"/>
      <c r="BPK48" s="166"/>
      <c r="BPL48" s="166"/>
      <c r="BPM48" s="166"/>
      <c r="BPN48" s="166"/>
      <c r="BPO48" s="166"/>
      <c r="BPP48" s="166"/>
      <c r="BPQ48" s="166"/>
      <c r="BPR48" s="166"/>
      <c r="BPS48" s="166"/>
      <c r="BPT48" s="166"/>
      <c r="BPU48" s="166"/>
      <c r="BPV48" s="166"/>
      <c r="BPW48" s="166"/>
      <c r="BPX48" s="166"/>
      <c r="BPY48" s="166"/>
      <c r="BPZ48" s="166"/>
      <c r="BQA48" s="166"/>
      <c r="BQB48" s="166"/>
      <c r="BQC48" s="166"/>
      <c r="BQD48" s="166"/>
      <c r="BQE48" s="166"/>
      <c r="BQF48" s="166"/>
      <c r="BQG48" s="166"/>
      <c r="BQH48" s="166"/>
      <c r="BQI48" s="166"/>
      <c r="BQJ48" s="166"/>
      <c r="BQK48" s="166"/>
      <c r="BQL48" s="166"/>
      <c r="BQM48" s="166"/>
      <c r="BQN48" s="166"/>
      <c r="BQO48" s="166"/>
      <c r="BQP48" s="166"/>
      <c r="BQQ48" s="166"/>
      <c r="BQR48" s="166"/>
      <c r="BQS48" s="166"/>
      <c r="BQT48" s="166"/>
      <c r="BQU48" s="166"/>
      <c r="BQV48" s="166"/>
      <c r="BQW48" s="166"/>
      <c r="BQX48" s="166"/>
      <c r="BQY48" s="166"/>
      <c r="BQZ48" s="166"/>
      <c r="BRA48" s="166"/>
      <c r="BRB48" s="166"/>
      <c r="BRC48" s="166"/>
      <c r="BRD48" s="166"/>
      <c r="BRE48" s="166"/>
      <c r="BRF48" s="166"/>
      <c r="BRG48" s="166"/>
      <c r="BRH48" s="166"/>
      <c r="BRI48" s="166"/>
      <c r="BRJ48" s="166"/>
      <c r="BRK48" s="166"/>
      <c r="BRL48" s="166"/>
      <c r="BRM48" s="166"/>
      <c r="BRN48" s="166"/>
      <c r="BRO48" s="166"/>
      <c r="BRP48" s="166"/>
      <c r="BRQ48" s="166"/>
      <c r="BRR48" s="166"/>
      <c r="BRS48" s="166"/>
      <c r="BRT48" s="166"/>
      <c r="BRU48" s="166"/>
      <c r="BRV48" s="166"/>
      <c r="BRW48" s="166"/>
      <c r="BRX48" s="166"/>
      <c r="BRY48" s="166"/>
      <c r="BRZ48" s="166"/>
      <c r="BSA48" s="166"/>
      <c r="BSB48" s="166"/>
      <c r="BSC48" s="166"/>
      <c r="BSD48" s="166"/>
      <c r="BSE48" s="166"/>
      <c r="BSF48" s="166"/>
      <c r="BSG48" s="166"/>
      <c r="BSH48" s="166"/>
      <c r="BSI48" s="166"/>
      <c r="BSJ48" s="166"/>
      <c r="BSK48" s="166"/>
      <c r="BSL48" s="166"/>
      <c r="BSM48" s="166"/>
      <c r="BSN48" s="166"/>
      <c r="BSO48" s="166"/>
      <c r="BSP48" s="166"/>
      <c r="BSQ48" s="166"/>
      <c r="BSR48" s="166"/>
      <c r="BSS48" s="166"/>
    </row>
    <row r="49" spans="1:1865" ht="20.100000000000001" customHeight="1" x14ac:dyDescent="0.25">
      <c r="A49" s="100" t="s">
        <v>20</v>
      </c>
      <c r="B49" s="63" t="str">
        <f>IF(LEN(C83)=0,"",C83)</f>
        <v/>
      </c>
      <c r="C49" s="207" t="s">
        <v>112</v>
      </c>
      <c r="D49" s="146" t="str">
        <f t="shared" si="0"/>
        <v>15h50min</v>
      </c>
      <c r="E49" s="31">
        <v>190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167"/>
      <c r="ADG49" s="168"/>
      <c r="ADH49" s="168"/>
      <c r="ADI49" s="168"/>
      <c r="ADJ49" s="169"/>
      <c r="ADK49" s="170"/>
      <c r="ADL49" s="169"/>
      <c r="ADM49" s="169"/>
      <c r="ADN49" s="169"/>
      <c r="ADO49" s="169"/>
      <c r="ADP49" s="169"/>
      <c r="ADQ49" s="171"/>
      <c r="ADR49" s="169"/>
      <c r="ADS49" s="169"/>
      <c r="ADT49" s="169"/>
      <c r="ADU49" s="169"/>
      <c r="ADV49" s="169"/>
      <c r="ADW49" s="181"/>
      <c r="ADX49" s="169"/>
      <c r="ADY49" s="169"/>
      <c r="ADZ49" s="169"/>
      <c r="AEA49" s="169"/>
      <c r="AEB49" s="169"/>
      <c r="AEC49" s="171"/>
      <c r="AED49" s="169"/>
      <c r="AEE49" s="169"/>
      <c r="AEF49" s="169"/>
      <c r="AEG49" s="169"/>
      <c r="AEH49" s="169"/>
      <c r="AEI49" s="181"/>
      <c r="AEJ49" s="168"/>
      <c r="AEK49" s="168"/>
      <c r="AEL49" s="168"/>
      <c r="AEM49" s="168"/>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167"/>
      <c r="AFO49" s="168"/>
      <c r="AFP49" s="168"/>
      <c r="AFQ49" s="168"/>
      <c r="AFR49" s="169"/>
      <c r="AFS49" s="170"/>
      <c r="AFT49" s="169"/>
      <c r="AFU49" s="169"/>
      <c r="AFV49" s="169"/>
      <c r="AFW49" s="169"/>
      <c r="AFX49" s="169"/>
      <c r="AFY49" s="171"/>
      <c r="AFZ49" s="169"/>
      <c r="AGA49" s="169"/>
      <c r="AGB49" s="169"/>
      <c r="AGC49" s="169"/>
      <c r="AGD49" s="169"/>
      <c r="AGE49" s="181"/>
      <c r="AGF49" s="169"/>
      <c r="AGG49" s="169"/>
      <c r="AGH49" s="169"/>
      <c r="AGI49" s="169"/>
      <c r="AGJ49" s="169"/>
      <c r="AGK49" s="171"/>
      <c r="AGL49" s="169"/>
      <c r="AGM49" s="169"/>
      <c r="AGN49" s="169"/>
      <c r="AGO49" s="169"/>
      <c r="AGP49" s="169"/>
      <c r="AGQ49" s="181"/>
      <c r="AGR49" s="168"/>
      <c r="AGS49" s="168"/>
      <c r="AGT49" s="168"/>
      <c r="AGU49" s="168"/>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167"/>
      <c r="AHW49" s="168"/>
      <c r="AHX49" s="168"/>
      <c r="AHY49" s="168"/>
      <c r="AHZ49" s="169"/>
      <c r="AIA49" s="170"/>
      <c r="AIB49" s="169"/>
      <c r="AIC49" s="169"/>
      <c r="AID49" s="169"/>
      <c r="AIE49" s="169"/>
      <c r="AIF49" s="169"/>
      <c r="AIG49" s="171"/>
      <c r="AIH49" s="169"/>
      <c r="AII49" s="169"/>
      <c r="AIJ49" s="169"/>
      <c r="AIK49" s="169"/>
      <c r="AIL49" s="169"/>
      <c r="AIM49" s="181"/>
      <c r="AIN49" s="169"/>
      <c r="AIO49" s="169"/>
      <c r="AIP49" s="169"/>
      <c r="AIQ49" s="169"/>
      <c r="AIR49" s="169"/>
      <c r="AIS49" s="171"/>
      <c r="AIT49" s="169"/>
      <c r="AIU49" s="169"/>
      <c r="AIV49" s="169"/>
      <c r="AIW49" s="169"/>
      <c r="AIX49" s="169"/>
      <c r="AIY49" s="181"/>
      <c r="AIZ49" s="168"/>
      <c r="AJA49" s="168"/>
      <c r="AJB49" s="168"/>
      <c r="AJC49" s="168"/>
      <c r="AJD49" s="169"/>
      <c r="AJE49" s="171"/>
      <c r="AJF49" s="169"/>
      <c r="AJG49" s="169"/>
      <c r="AJH49" s="169"/>
      <c r="AJI49" s="169"/>
      <c r="AJJ49" s="169"/>
      <c r="AJK49" s="181"/>
      <c r="AJL49" s="169"/>
      <c r="AJM49" s="169"/>
      <c r="AJN49" s="33"/>
      <c r="AJO49" s="33"/>
      <c r="AJP49" s="33"/>
      <c r="AJQ49" s="137"/>
      <c r="AJR49" s="33"/>
      <c r="AJS49" s="33"/>
      <c r="AJT49" s="33"/>
      <c r="AJU49" s="33"/>
      <c r="AJV49" s="33"/>
      <c r="AJW49" s="74"/>
      <c r="AJX49" s="33"/>
      <c r="AJY49" s="33"/>
      <c r="AJZ49" s="33"/>
      <c r="AKA49" s="33"/>
      <c r="AKB49" s="33"/>
      <c r="AKC49" s="34"/>
      <c r="AKD49" s="167"/>
      <c r="AKE49" s="168"/>
      <c r="AKF49" s="168"/>
      <c r="AKG49" s="168"/>
      <c r="AKH49" s="169"/>
      <c r="AKI49" s="170"/>
      <c r="AKJ49" s="169"/>
      <c r="AKK49" s="169"/>
      <c r="AKL49" s="169"/>
      <c r="AKM49" s="169"/>
      <c r="AKN49" s="169"/>
      <c r="AKO49" s="171"/>
      <c r="AKP49" s="169"/>
      <c r="AKQ49" s="169"/>
      <c r="AKR49" s="169"/>
      <c r="AKS49" s="169"/>
      <c r="AKT49" s="169"/>
      <c r="AKU49" s="181"/>
      <c r="AKV49" s="169"/>
      <c r="AKW49" s="169"/>
      <c r="AKX49" s="169"/>
      <c r="AKY49" s="169"/>
      <c r="AKZ49" s="169"/>
      <c r="ALA49" s="171"/>
      <c r="ALB49" s="169"/>
      <c r="ALC49" s="169"/>
      <c r="ALD49" s="169"/>
      <c r="ALE49" s="169"/>
      <c r="ALF49" s="169"/>
      <c r="ALG49" s="181"/>
      <c r="ALH49" s="168"/>
      <c r="ALI49" s="168"/>
      <c r="ALJ49" s="168"/>
      <c r="ALK49" s="168"/>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167"/>
      <c r="AMM49" s="168"/>
      <c r="AMN49" s="168"/>
      <c r="AMO49" s="168"/>
      <c r="AMP49" s="169"/>
      <c r="AMQ49" s="170"/>
      <c r="AMR49" s="169"/>
      <c r="AMS49" s="169"/>
      <c r="AMT49" s="169"/>
      <c r="AMU49" s="169"/>
      <c r="AMV49" s="169"/>
      <c r="AMW49" s="171"/>
      <c r="AMX49" s="169"/>
      <c r="AMY49" s="169"/>
      <c r="AMZ49" s="169"/>
      <c r="ANA49" s="169"/>
      <c r="ANB49" s="169"/>
      <c r="ANC49" s="181"/>
      <c r="AND49" s="169"/>
      <c r="ANE49" s="169"/>
      <c r="ANF49" s="169"/>
      <c r="ANG49" s="169"/>
      <c r="ANH49" s="169"/>
      <c r="ANI49" s="171"/>
      <c r="ANJ49" s="169"/>
      <c r="ANK49" s="169"/>
      <c r="ANL49" s="169"/>
      <c r="ANM49" s="169"/>
      <c r="ANN49" s="169"/>
      <c r="ANO49" s="181"/>
      <c r="ANP49" s="168"/>
      <c r="ANQ49" s="168"/>
      <c r="ANR49" s="168"/>
      <c r="ANS49" s="168"/>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167"/>
      <c r="AOU49" s="168"/>
      <c r="AOV49" s="168"/>
      <c r="AOW49" s="168"/>
      <c r="AOX49" s="169"/>
      <c r="AOY49" s="170"/>
      <c r="AOZ49" s="169"/>
      <c r="APA49" s="169"/>
      <c r="APB49" s="169"/>
      <c r="APC49" s="169"/>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165"/>
      <c r="BHG49" s="166"/>
      <c r="BHH49" s="166"/>
      <c r="BHI49" s="166"/>
      <c r="BHJ49" s="166"/>
      <c r="BHK49" s="166"/>
      <c r="BHL49" s="166"/>
      <c r="BHM49" s="166"/>
      <c r="BHN49" s="166"/>
      <c r="BHO49" s="166"/>
      <c r="BHP49" s="166"/>
      <c r="BHQ49" s="166"/>
      <c r="BHR49" s="166"/>
      <c r="BHS49" s="166"/>
      <c r="BHT49" s="166"/>
      <c r="BHU49" s="166"/>
      <c r="BHV49" s="166"/>
      <c r="BHW49" s="166"/>
      <c r="BHX49" s="166"/>
      <c r="BHY49" s="166"/>
      <c r="BHZ49" s="166"/>
      <c r="BIA49" s="166"/>
      <c r="BIB49" s="166"/>
      <c r="BIC49" s="166"/>
      <c r="BID49" s="166"/>
      <c r="BIE49" s="166"/>
      <c r="BIF49" s="166"/>
      <c r="BIG49" s="166"/>
      <c r="BIH49" s="166"/>
      <c r="BII49" s="166"/>
      <c r="BIJ49" s="166"/>
      <c r="BIK49" s="166"/>
      <c r="BIL49" s="166"/>
      <c r="BIM49" s="166"/>
      <c r="BIN49" s="166"/>
      <c r="BIO49" s="166"/>
      <c r="BIP49" s="166"/>
      <c r="BIQ49" s="166"/>
      <c r="BIR49" s="166"/>
      <c r="BIS49" s="166"/>
      <c r="BIT49" s="166"/>
      <c r="BIU49" s="166"/>
      <c r="BIV49" s="166"/>
      <c r="BIW49" s="166"/>
      <c r="BIX49" s="166"/>
      <c r="BIY49" s="166"/>
      <c r="BIZ49" s="166"/>
      <c r="BJA49" s="166"/>
      <c r="BJB49" s="166"/>
      <c r="BJC49" s="166"/>
      <c r="BJD49" s="166"/>
      <c r="BJE49" s="166"/>
      <c r="BJF49" s="166"/>
      <c r="BJG49" s="166"/>
      <c r="BJH49" s="166"/>
      <c r="BJI49" s="166"/>
      <c r="BJJ49" s="166"/>
      <c r="BJK49" s="166"/>
      <c r="BJL49" s="166"/>
      <c r="BJM49" s="166"/>
      <c r="BJN49" s="166"/>
      <c r="BJO49" s="166"/>
      <c r="BJP49" s="166"/>
      <c r="BJQ49" s="166"/>
      <c r="BJR49" s="166"/>
      <c r="BJS49" s="166"/>
      <c r="BJT49" s="166"/>
      <c r="BJU49" s="166"/>
      <c r="BJV49" s="166"/>
      <c r="BJW49" s="166"/>
      <c r="BJX49" s="166"/>
      <c r="BJY49" s="166"/>
      <c r="BJZ49" s="166"/>
      <c r="BKA49" s="166"/>
      <c r="BKB49" s="166"/>
      <c r="BKC49" s="166"/>
      <c r="BKD49" s="166"/>
      <c r="BKE49" s="166"/>
      <c r="BKF49" s="166"/>
      <c r="BKG49" s="166"/>
      <c r="BKH49" s="166"/>
      <c r="BKI49" s="166"/>
      <c r="BKJ49" s="166"/>
      <c r="BKK49" s="166"/>
      <c r="BKL49" s="166"/>
      <c r="BKM49" s="166"/>
      <c r="BKN49" s="166"/>
      <c r="BKO49" s="166"/>
      <c r="BKP49" s="166"/>
      <c r="BKQ49" s="166"/>
      <c r="BKR49" s="166"/>
      <c r="BKS49" s="166"/>
      <c r="BKT49" s="166"/>
      <c r="BKU49" s="166"/>
      <c r="BKV49" s="166"/>
      <c r="BKW49" s="166"/>
      <c r="BKX49" s="166"/>
      <c r="BKY49" s="166"/>
      <c r="BKZ49" s="166"/>
      <c r="BLA49" s="166"/>
      <c r="BLB49" s="166"/>
      <c r="BLC49" s="166"/>
      <c r="BLD49" s="166"/>
      <c r="BLE49" s="166"/>
      <c r="BLF49" s="166"/>
      <c r="BLG49" s="166"/>
      <c r="BLH49" s="166"/>
      <c r="BLI49" s="166"/>
      <c r="BLJ49" s="166"/>
      <c r="BLK49" s="166"/>
      <c r="BLL49" s="166"/>
      <c r="BLM49" s="166"/>
      <c r="BLN49" s="166"/>
      <c r="BLO49" s="166"/>
      <c r="BLP49" s="166"/>
      <c r="BLQ49" s="166"/>
      <c r="BLR49" s="166"/>
      <c r="BLS49" s="166"/>
      <c r="BLT49" s="166"/>
      <c r="BLU49" s="166"/>
      <c r="BLV49" s="166"/>
      <c r="BLW49" s="166"/>
      <c r="BLX49" s="166"/>
      <c r="BLY49" s="166"/>
      <c r="BLZ49" s="166"/>
      <c r="BMA49" s="166"/>
      <c r="BMB49" s="166"/>
      <c r="BMC49" s="166"/>
      <c r="BMD49" s="166"/>
      <c r="BME49" s="166"/>
      <c r="BMF49" s="166"/>
      <c r="BMG49" s="166"/>
      <c r="BMH49" s="166"/>
      <c r="BMI49" s="166"/>
      <c r="BMJ49" s="166"/>
      <c r="BMK49" s="166"/>
      <c r="BML49" s="166"/>
      <c r="BMM49" s="166"/>
      <c r="BMN49" s="166"/>
      <c r="BMO49" s="166"/>
      <c r="BMP49" s="166"/>
      <c r="BMQ49" s="166"/>
      <c r="BMR49" s="166"/>
      <c r="BMS49" s="166"/>
      <c r="BMT49" s="166"/>
      <c r="BMU49" s="166"/>
      <c r="BMV49" s="166"/>
      <c r="BMW49" s="166"/>
      <c r="BMX49" s="166"/>
      <c r="BMY49" s="166"/>
      <c r="BMZ49" s="166"/>
      <c r="BNA49" s="166"/>
      <c r="BNB49" s="166"/>
      <c r="BNC49" s="166"/>
      <c r="BND49" s="166"/>
      <c r="BNE49" s="166"/>
      <c r="BNF49" s="166"/>
      <c r="BNG49" s="166"/>
      <c r="BNH49" s="166"/>
      <c r="BNI49" s="166"/>
      <c r="BNJ49" s="166"/>
      <c r="BNK49" s="166"/>
      <c r="BNL49" s="166"/>
      <c r="BNM49" s="166"/>
      <c r="BNN49" s="166"/>
      <c r="BNO49" s="166"/>
      <c r="BNP49" s="166"/>
      <c r="BNQ49" s="166"/>
      <c r="BNR49" s="166"/>
      <c r="BNS49" s="166"/>
      <c r="BNT49" s="166"/>
      <c r="BNU49" s="166"/>
      <c r="BNV49" s="166"/>
      <c r="BNW49" s="166"/>
      <c r="BNX49" s="166"/>
      <c r="BNY49" s="166"/>
      <c r="BNZ49" s="166"/>
      <c r="BOA49" s="166"/>
      <c r="BOB49" s="166"/>
      <c r="BOC49" s="166"/>
      <c r="BOD49" s="166"/>
      <c r="BOE49" s="166"/>
      <c r="BOF49" s="166"/>
      <c r="BOG49" s="166"/>
      <c r="BOH49" s="166"/>
      <c r="BOI49" s="166"/>
      <c r="BOJ49" s="166"/>
      <c r="BOK49" s="166"/>
      <c r="BOL49" s="166"/>
      <c r="BOM49" s="166"/>
      <c r="BON49" s="166"/>
      <c r="BOO49" s="166"/>
      <c r="BOP49" s="166"/>
      <c r="BOQ49" s="166"/>
      <c r="BOR49" s="166"/>
      <c r="BOS49" s="166"/>
      <c r="BOT49" s="166"/>
      <c r="BOU49" s="166"/>
      <c r="BOV49" s="166"/>
      <c r="BOW49" s="166"/>
      <c r="BOX49" s="166"/>
      <c r="BOY49" s="166"/>
      <c r="BOZ49" s="166"/>
      <c r="BPA49" s="166"/>
      <c r="BPB49" s="166"/>
      <c r="BPC49" s="166"/>
      <c r="BPD49" s="166"/>
      <c r="BPE49" s="166"/>
      <c r="BPF49" s="166"/>
      <c r="BPG49" s="166"/>
      <c r="BPH49" s="166"/>
      <c r="BPI49" s="166"/>
      <c r="BPJ49" s="166"/>
      <c r="BPK49" s="166"/>
      <c r="BPL49" s="166"/>
      <c r="BPM49" s="166"/>
      <c r="BPN49" s="166"/>
      <c r="BPO49" s="166"/>
      <c r="BPP49" s="166"/>
      <c r="BPQ49" s="166"/>
      <c r="BPR49" s="166"/>
      <c r="BPS49" s="166"/>
      <c r="BPT49" s="166"/>
      <c r="BPU49" s="166"/>
      <c r="BPV49" s="166"/>
      <c r="BPW49" s="166"/>
      <c r="BPX49" s="166"/>
      <c r="BPY49" s="166"/>
      <c r="BPZ49" s="166"/>
      <c r="BQA49" s="166"/>
      <c r="BQB49" s="166"/>
      <c r="BQC49" s="166"/>
      <c r="BQD49" s="166"/>
      <c r="BQE49" s="166"/>
      <c r="BQF49" s="166"/>
      <c r="BQG49" s="166"/>
      <c r="BQH49" s="166"/>
      <c r="BQI49" s="166"/>
      <c r="BQJ49" s="166"/>
      <c r="BQK49" s="166"/>
      <c r="BQL49" s="166"/>
      <c r="BQM49" s="166"/>
      <c r="BQN49" s="166"/>
      <c r="BQO49" s="166"/>
      <c r="BQP49" s="166"/>
      <c r="BQQ49" s="166"/>
      <c r="BQR49" s="166"/>
      <c r="BQS49" s="166"/>
      <c r="BQT49" s="166"/>
      <c r="BQU49" s="166"/>
      <c r="BQV49" s="166"/>
      <c r="BQW49" s="166"/>
      <c r="BQX49" s="166"/>
      <c r="BQY49" s="166"/>
      <c r="BQZ49" s="166"/>
      <c r="BRA49" s="166"/>
      <c r="BRB49" s="166"/>
      <c r="BRC49" s="166"/>
      <c r="BRD49" s="166"/>
      <c r="BRE49" s="166"/>
      <c r="BRF49" s="166"/>
      <c r="BRG49" s="166"/>
      <c r="BRH49" s="166"/>
      <c r="BRI49" s="166"/>
      <c r="BRJ49" s="166"/>
      <c r="BRK49" s="166"/>
      <c r="BRL49" s="166"/>
      <c r="BRM49" s="166"/>
      <c r="BRN49" s="166"/>
      <c r="BRO49" s="166"/>
      <c r="BRP49" s="166"/>
      <c r="BRQ49" s="166"/>
      <c r="BRR49" s="166"/>
      <c r="BRS49" s="166"/>
      <c r="BRT49" s="166"/>
      <c r="BRU49" s="166"/>
      <c r="BRV49" s="166"/>
      <c r="BRW49" s="166"/>
      <c r="BRX49" s="166"/>
      <c r="BRY49" s="166"/>
      <c r="BRZ49" s="166"/>
      <c r="BSA49" s="166"/>
      <c r="BSB49" s="166"/>
      <c r="BSC49" s="166"/>
      <c r="BSD49" s="166"/>
      <c r="BSE49" s="166"/>
      <c r="BSF49" s="166"/>
      <c r="BSG49" s="166"/>
      <c r="BSH49" s="166"/>
      <c r="BSI49" s="166"/>
      <c r="BSJ49" s="166"/>
      <c r="BSK49" s="166"/>
      <c r="BSL49" s="166"/>
      <c r="BSM49" s="166"/>
      <c r="BSN49" s="166"/>
      <c r="BSO49" s="166"/>
      <c r="BSP49" s="166"/>
      <c r="BSQ49" s="166"/>
      <c r="BSR49" s="166"/>
      <c r="BSS49" s="166"/>
    </row>
    <row r="50" spans="1:1865" ht="20.100000000000001" customHeight="1" x14ac:dyDescent="0.3">
      <c r="A50" s="100" t="s">
        <v>21</v>
      </c>
      <c r="B50" s="63" t="str">
        <f>IF(LEN(C85)=0,"",C85)</f>
        <v/>
      </c>
      <c r="C50" s="218"/>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165"/>
      <c r="BHG50" s="166"/>
      <c r="BHH50" s="166"/>
      <c r="BHI50" s="166"/>
      <c r="BHJ50" s="166"/>
      <c r="BHK50" s="166"/>
      <c r="BHL50" s="166"/>
      <c r="BHM50" s="166"/>
      <c r="BHN50" s="166"/>
      <c r="BHO50" s="166"/>
      <c r="BHP50" s="166"/>
      <c r="BHQ50" s="166"/>
      <c r="BHR50" s="166"/>
      <c r="BHS50" s="166"/>
      <c r="BHT50" s="166"/>
      <c r="BHU50" s="166"/>
      <c r="BHV50" s="166"/>
      <c r="BHW50" s="166"/>
      <c r="BHX50" s="166"/>
      <c r="BHY50" s="166"/>
      <c r="BHZ50" s="166"/>
      <c r="BIA50" s="166"/>
      <c r="BIB50" s="166"/>
      <c r="BIC50" s="166"/>
      <c r="BID50" s="166"/>
      <c r="BIE50" s="166"/>
      <c r="BIF50" s="166"/>
      <c r="BIG50" s="166"/>
      <c r="BIH50" s="166"/>
      <c r="BII50" s="166"/>
      <c r="BIJ50" s="166"/>
      <c r="BIK50" s="166"/>
      <c r="BIL50" s="166"/>
      <c r="BIM50" s="166"/>
      <c r="BIN50" s="166"/>
      <c r="BIO50" s="166"/>
      <c r="BIP50" s="166"/>
      <c r="BIQ50" s="166"/>
      <c r="BIR50" s="166"/>
      <c r="BIS50" s="166"/>
      <c r="BIT50" s="166"/>
      <c r="BIU50" s="166"/>
      <c r="BIV50" s="166"/>
      <c r="BIW50" s="166"/>
      <c r="BIX50" s="166"/>
      <c r="BIY50" s="166"/>
      <c r="BIZ50" s="166"/>
      <c r="BJA50" s="166"/>
      <c r="BJB50" s="166"/>
      <c r="BJC50" s="166"/>
      <c r="BJD50" s="166"/>
      <c r="BJE50" s="166"/>
      <c r="BJF50" s="166"/>
      <c r="BJG50" s="166"/>
      <c r="BJH50" s="166"/>
      <c r="BJI50" s="166"/>
      <c r="BJJ50" s="166"/>
      <c r="BJK50" s="166"/>
      <c r="BJL50" s="166"/>
      <c r="BJM50" s="166"/>
      <c r="BJN50" s="166"/>
      <c r="BJO50" s="166"/>
      <c r="BJP50" s="166"/>
      <c r="BJQ50" s="166"/>
      <c r="BJR50" s="166"/>
      <c r="BJS50" s="166"/>
      <c r="BJT50" s="166"/>
      <c r="BJU50" s="166"/>
      <c r="BJV50" s="166"/>
      <c r="BJW50" s="166"/>
      <c r="BJX50" s="166"/>
      <c r="BJY50" s="166"/>
      <c r="BJZ50" s="166"/>
      <c r="BKA50" s="166"/>
      <c r="BKB50" s="166"/>
      <c r="BKC50" s="166"/>
      <c r="BKD50" s="166"/>
      <c r="BKE50" s="166"/>
      <c r="BKF50" s="166"/>
      <c r="BKG50" s="166"/>
      <c r="BKH50" s="166"/>
      <c r="BKI50" s="166"/>
      <c r="BKJ50" s="166"/>
      <c r="BKK50" s="166"/>
      <c r="BKL50" s="166"/>
      <c r="BKM50" s="166"/>
      <c r="BKN50" s="166"/>
      <c r="BKO50" s="166"/>
      <c r="BKP50" s="166"/>
      <c r="BKQ50" s="166"/>
      <c r="BKR50" s="166"/>
      <c r="BKS50" s="166"/>
      <c r="BKT50" s="166"/>
      <c r="BKU50" s="166"/>
      <c r="BKV50" s="166"/>
      <c r="BKW50" s="166"/>
      <c r="BKX50" s="166"/>
      <c r="BKY50" s="166"/>
      <c r="BKZ50" s="166"/>
      <c r="BLA50" s="166"/>
      <c r="BLB50" s="166"/>
      <c r="BLC50" s="166"/>
      <c r="BLD50" s="166"/>
      <c r="BLE50" s="166"/>
      <c r="BLF50" s="166"/>
      <c r="BLG50" s="166"/>
      <c r="BLH50" s="166"/>
      <c r="BLI50" s="166"/>
      <c r="BLJ50" s="166"/>
      <c r="BLK50" s="166"/>
      <c r="BLL50" s="166"/>
      <c r="BLM50" s="166"/>
      <c r="BLN50" s="166"/>
      <c r="BLO50" s="166"/>
      <c r="BLP50" s="166"/>
      <c r="BLQ50" s="166"/>
      <c r="BLR50" s="166"/>
      <c r="BLS50" s="166"/>
      <c r="BLT50" s="166"/>
      <c r="BLU50" s="166"/>
      <c r="BLV50" s="166"/>
      <c r="BLW50" s="166"/>
      <c r="BLX50" s="166"/>
      <c r="BLY50" s="166"/>
      <c r="BLZ50" s="166"/>
      <c r="BMA50" s="166"/>
      <c r="BMB50" s="166"/>
      <c r="BMC50" s="166"/>
      <c r="BMD50" s="166"/>
      <c r="BME50" s="166"/>
      <c r="BMF50" s="166"/>
      <c r="BMG50" s="166"/>
      <c r="BMH50" s="166"/>
      <c r="BMI50" s="166"/>
      <c r="BMJ50" s="166"/>
      <c r="BMK50" s="166"/>
      <c r="BML50" s="166"/>
      <c r="BMM50" s="166"/>
      <c r="BMN50" s="166"/>
      <c r="BMO50" s="166"/>
      <c r="BMP50" s="166"/>
      <c r="BMQ50" s="166"/>
      <c r="BMR50" s="166"/>
      <c r="BMS50" s="166"/>
      <c r="BMT50" s="166"/>
      <c r="BMU50" s="166"/>
      <c r="BMV50" s="166"/>
      <c r="BMW50" s="166"/>
      <c r="BMX50" s="166"/>
      <c r="BMY50" s="166"/>
      <c r="BMZ50" s="166"/>
      <c r="BNA50" s="166"/>
      <c r="BNB50" s="166"/>
      <c r="BNC50" s="166"/>
      <c r="BND50" s="166"/>
      <c r="BNE50" s="166"/>
      <c r="BNF50" s="166"/>
      <c r="BNG50" s="166"/>
      <c r="BNH50" s="166"/>
      <c r="BNI50" s="166"/>
      <c r="BNJ50" s="166"/>
      <c r="BNK50" s="166"/>
      <c r="BNL50" s="166"/>
      <c r="BNM50" s="166"/>
      <c r="BNN50" s="166"/>
      <c r="BNO50" s="166"/>
      <c r="BNP50" s="166"/>
      <c r="BNQ50" s="166"/>
      <c r="BNR50" s="166"/>
      <c r="BNS50" s="166"/>
      <c r="BNT50" s="166"/>
      <c r="BNU50" s="166"/>
      <c r="BNV50" s="166"/>
      <c r="BNW50" s="166"/>
      <c r="BNX50" s="166"/>
      <c r="BNY50" s="166"/>
      <c r="BNZ50" s="166"/>
      <c r="BOA50" s="166"/>
      <c r="BOB50" s="166"/>
      <c r="BOC50" s="166"/>
      <c r="BOD50" s="166"/>
      <c r="BOE50" s="166"/>
      <c r="BOF50" s="166"/>
      <c r="BOG50" s="166"/>
      <c r="BOH50" s="166"/>
      <c r="BOI50" s="166"/>
      <c r="BOJ50" s="166"/>
      <c r="BOK50" s="166"/>
      <c r="BOL50" s="166"/>
      <c r="BOM50" s="166"/>
      <c r="BON50" s="166"/>
      <c r="BOO50" s="166"/>
      <c r="BOP50" s="166"/>
      <c r="BOQ50" s="166"/>
      <c r="BOR50" s="166"/>
      <c r="BOS50" s="166"/>
      <c r="BOT50" s="166"/>
      <c r="BOU50" s="166"/>
      <c r="BOV50" s="166"/>
      <c r="BOW50" s="166"/>
      <c r="BOX50" s="166"/>
      <c r="BOY50" s="166"/>
      <c r="BOZ50" s="166"/>
      <c r="BPA50" s="166"/>
      <c r="BPB50" s="166"/>
      <c r="BPC50" s="166"/>
      <c r="BPD50" s="166"/>
      <c r="BPE50" s="166"/>
      <c r="BPF50" s="166"/>
      <c r="BPG50" s="166"/>
      <c r="BPH50" s="166"/>
      <c r="BPI50" s="166"/>
      <c r="BPJ50" s="166"/>
      <c r="BPK50" s="166"/>
      <c r="BPL50" s="166"/>
      <c r="BPM50" s="166"/>
      <c r="BPN50" s="166"/>
      <c r="BPO50" s="166"/>
      <c r="BPP50" s="166"/>
      <c r="BPQ50" s="166"/>
      <c r="BPR50" s="166"/>
      <c r="BPS50" s="166"/>
      <c r="BPT50" s="166"/>
      <c r="BPU50" s="166"/>
      <c r="BPV50" s="166"/>
      <c r="BPW50" s="166"/>
      <c r="BPX50" s="166"/>
      <c r="BPY50" s="166"/>
      <c r="BPZ50" s="166"/>
      <c r="BQA50" s="166"/>
      <c r="BQB50" s="166"/>
      <c r="BQC50" s="166"/>
      <c r="BQD50" s="166"/>
      <c r="BQE50" s="166"/>
      <c r="BQF50" s="166"/>
      <c r="BQG50" s="166"/>
      <c r="BQH50" s="166"/>
      <c r="BQI50" s="166"/>
      <c r="BQJ50" s="166"/>
      <c r="BQK50" s="166"/>
      <c r="BQL50" s="166"/>
      <c r="BQM50" s="166"/>
      <c r="BQN50" s="166"/>
      <c r="BQO50" s="166"/>
      <c r="BQP50" s="166"/>
      <c r="BQQ50" s="166"/>
      <c r="BQR50" s="166"/>
      <c r="BQS50" s="166"/>
      <c r="BQT50" s="166"/>
      <c r="BQU50" s="166"/>
      <c r="BQV50" s="166"/>
      <c r="BQW50" s="166"/>
      <c r="BQX50" s="166"/>
      <c r="BQY50" s="166"/>
      <c r="BQZ50" s="166"/>
      <c r="BRA50" s="166"/>
      <c r="BRB50" s="166"/>
      <c r="BRC50" s="166"/>
      <c r="BRD50" s="166"/>
      <c r="BRE50" s="166"/>
      <c r="BRF50" s="166"/>
      <c r="BRG50" s="166"/>
      <c r="BRH50" s="166"/>
      <c r="BRI50" s="166"/>
      <c r="BRJ50" s="166"/>
      <c r="BRK50" s="166"/>
      <c r="BRL50" s="166"/>
      <c r="BRM50" s="166"/>
      <c r="BRN50" s="166"/>
      <c r="BRO50" s="166"/>
      <c r="BRP50" s="166"/>
      <c r="BRQ50" s="166"/>
      <c r="BRR50" s="166"/>
      <c r="BRS50" s="166"/>
      <c r="BRT50" s="166"/>
      <c r="BRU50" s="166"/>
      <c r="BRV50" s="166"/>
      <c r="BRW50" s="166"/>
      <c r="BRX50" s="166"/>
      <c r="BRY50" s="166"/>
      <c r="BRZ50" s="166"/>
      <c r="BSA50" s="166"/>
      <c r="BSB50" s="166"/>
      <c r="BSC50" s="166"/>
      <c r="BSD50" s="166"/>
      <c r="BSE50" s="166"/>
      <c r="BSF50" s="166"/>
      <c r="BSG50" s="166"/>
      <c r="BSH50" s="166"/>
      <c r="BSI50" s="166"/>
      <c r="BSJ50" s="166"/>
      <c r="BSK50" s="166"/>
      <c r="BSL50" s="166"/>
      <c r="BSM50" s="166"/>
      <c r="BSN50" s="166"/>
      <c r="BSO50" s="166"/>
      <c r="BSP50" s="166"/>
      <c r="BSQ50" s="166"/>
      <c r="BSR50" s="166"/>
      <c r="BSS50" s="166"/>
    </row>
    <row r="51" spans="1:1865" ht="20.100000000000001" customHeight="1" x14ac:dyDescent="0.25">
      <c r="A51" s="100" t="s">
        <v>20</v>
      </c>
      <c r="B51" s="63" t="str">
        <f>IF(LEN(C87)=0,"",C87)</f>
        <v/>
      </c>
      <c r="C51" s="207"/>
      <c r="D51" s="146"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165"/>
      <c r="BHG51" s="166"/>
      <c r="BHH51" s="166"/>
      <c r="BHI51" s="166"/>
      <c r="BHJ51" s="166"/>
      <c r="BHK51" s="166"/>
      <c r="BHL51" s="166"/>
      <c r="BHM51" s="166"/>
      <c r="BHN51" s="166"/>
      <c r="BHO51" s="166"/>
      <c r="BHP51" s="166"/>
      <c r="BHQ51" s="166"/>
      <c r="BHR51" s="166"/>
      <c r="BHS51" s="166"/>
      <c r="BHT51" s="166"/>
      <c r="BHU51" s="166"/>
      <c r="BHV51" s="166"/>
      <c r="BHW51" s="166"/>
      <c r="BHX51" s="166"/>
      <c r="BHY51" s="166"/>
      <c r="BHZ51" s="166"/>
      <c r="BIA51" s="166"/>
      <c r="BIB51" s="166"/>
      <c r="BIC51" s="166"/>
      <c r="BID51" s="166"/>
      <c r="BIE51" s="166"/>
      <c r="BIF51" s="166"/>
      <c r="BIG51" s="166"/>
      <c r="BIH51" s="166"/>
      <c r="BII51" s="166"/>
      <c r="BIJ51" s="166"/>
      <c r="BIK51" s="166"/>
      <c r="BIL51" s="166"/>
      <c r="BIM51" s="166"/>
      <c r="BIN51" s="166"/>
      <c r="BIO51" s="166"/>
      <c r="BIP51" s="166"/>
      <c r="BIQ51" s="166"/>
      <c r="BIR51" s="166"/>
      <c r="BIS51" s="166"/>
      <c r="BIT51" s="166"/>
      <c r="BIU51" s="166"/>
      <c r="BIV51" s="166"/>
      <c r="BIW51" s="166"/>
      <c r="BIX51" s="166"/>
      <c r="BIY51" s="166"/>
      <c r="BIZ51" s="166"/>
      <c r="BJA51" s="166"/>
      <c r="BJB51" s="166"/>
      <c r="BJC51" s="166"/>
      <c r="BJD51" s="166"/>
      <c r="BJE51" s="166"/>
      <c r="BJF51" s="166"/>
      <c r="BJG51" s="166"/>
      <c r="BJH51" s="166"/>
      <c r="BJI51" s="166"/>
      <c r="BJJ51" s="166"/>
      <c r="BJK51" s="166"/>
      <c r="BJL51" s="166"/>
      <c r="BJM51" s="166"/>
      <c r="BJN51" s="166"/>
      <c r="BJO51" s="166"/>
      <c r="BJP51" s="166"/>
      <c r="BJQ51" s="166"/>
      <c r="BJR51" s="166"/>
      <c r="BJS51" s="166"/>
      <c r="BJT51" s="166"/>
      <c r="BJU51" s="166"/>
      <c r="BJV51" s="166"/>
      <c r="BJW51" s="166"/>
      <c r="BJX51" s="166"/>
      <c r="BJY51" s="166"/>
      <c r="BJZ51" s="166"/>
      <c r="BKA51" s="166"/>
      <c r="BKB51" s="166"/>
      <c r="BKC51" s="166"/>
      <c r="BKD51" s="166"/>
      <c r="BKE51" s="166"/>
      <c r="BKF51" s="166"/>
      <c r="BKG51" s="166"/>
      <c r="BKH51" s="166"/>
      <c r="BKI51" s="166"/>
      <c r="BKJ51" s="166"/>
      <c r="BKK51" s="166"/>
      <c r="BKL51" s="166"/>
      <c r="BKM51" s="166"/>
      <c r="BKN51" s="166"/>
      <c r="BKO51" s="166"/>
      <c r="BKP51" s="166"/>
      <c r="BKQ51" s="166"/>
      <c r="BKR51" s="166"/>
      <c r="BKS51" s="166"/>
      <c r="BKT51" s="166"/>
      <c r="BKU51" s="166"/>
      <c r="BKV51" s="166"/>
      <c r="BKW51" s="166"/>
      <c r="BKX51" s="166"/>
      <c r="BKY51" s="166"/>
      <c r="BKZ51" s="166"/>
      <c r="BLA51" s="166"/>
      <c r="BLB51" s="166"/>
      <c r="BLC51" s="166"/>
      <c r="BLD51" s="166"/>
      <c r="BLE51" s="166"/>
      <c r="BLF51" s="166"/>
      <c r="BLG51" s="166"/>
      <c r="BLH51" s="166"/>
      <c r="BLI51" s="166"/>
      <c r="BLJ51" s="166"/>
      <c r="BLK51" s="166"/>
      <c r="BLL51" s="166"/>
      <c r="BLM51" s="166"/>
      <c r="BLN51" s="166"/>
      <c r="BLO51" s="166"/>
      <c r="BLP51" s="166"/>
      <c r="BLQ51" s="166"/>
      <c r="BLR51" s="166"/>
      <c r="BLS51" s="166"/>
      <c r="BLT51" s="166"/>
      <c r="BLU51" s="166"/>
      <c r="BLV51" s="166"/>
      <c r="BLW51" s="166"/>
      <c r="BLX51" s="166"/>
      <c r="BLY51" s="166"/>
      <c r="BLZ51" s="166"/>
      <c r="BMA51" s="166"/>
      <c r="BMB51" s="166"/>
      <c r="BMC51" s="166"/>
      <c r="BMD51" s="166"/>
      <c r="BME51" s="166"/>
      <c r="BMF51" s="166"/>
      <c r="BMG51" s="166"/>
      <c r="BMH51" s="166"/>
      <c r="BMI51" s="166"/>
      <c r="BMJ51" s="166"/>
      <c r="BMK51" s="166"/>
      <c r="BML51" s="166"/>
      <c r="BMM51" s="166"/>
      <c r="BMN51" s="166"/>
      <c r="BMO51" s="166"/>
      <c r="BMP51" s="166"/>
      <c r="BMQ51" s="166"/>
      <c r="BMR51" s="166"/>
      <c r="BMS51" s="166"/>
      <c r="BMT51" s="166"/>
      <c r="BMU51" s="166"/>
      <c r="BMV51" s="166"/>
      <c r="BMW51" s="166"/>
      <c r="BMX51" s="166"/>
      <c r="BMY51" s="166"/>
      <c r="BMZ51" s="166"/>
      <c r="BNA51" s="166"/>
      <c r="BNB51" s="166"/>
      <c r="BNC51" s="166"/>
      <c r="BND51" s="166"/>
      <c r="BNE51" s="166"/>
      <c r="BNF51" s="166"/>
      <c r="BNG51" s="166"/>
      <c r="BNH51" s="166"/>
      <c r="BNI51" s="166"/>
      <c r="BNJ51" s="166"/>
      <c r="BNK51" s="166"/>
      <c r="BNL51" s="166"/>
      <c r="BNM51" s="166"/>
      <c r="BNN51" s="166"/>
      <c r="BNO51" s="166"/>
      <c r="BNP51" s="166"/>
      <c r="BNQ51" s="166"/>
      <c r="BNR51" s="166"/>
      <c r="BNS51" s="166"/>
      <c r="BNT51" s="166"/>
      <c r="BNU51" s="166"/>
      <c r="BNV51" s="166"/>
      <c r="BNW51" s="166"/>
      <c r="BNX51" s="166"/>
      <c r="BNY51" s="166"/>
      <c r="BNZ51" s="166"/>
      <c r="BOA51" s="166"/>
      <c r="BOB51" s="166"/>
      <c r="BOC51" s="166"/>
      <c r="BOD51" s="166"/>
      <c r="BOE51" s="166"/>
      <c r="BOF51" s="166"/>
      <c r="BOG51" s="166"/>
      <c r="BOH51" s="166"/>
      <c r="BOI51" s="166"/>
      <c r="BOJ51" s="166"/>
      <c r="BOK51" s="166"/>
      <c r="BOL51" s="166"/>
      <c r="BOM51" s="166"/>
      <c r="BON51" s="166"/>
      <c r="BOO51" s="166"/>
      <c r="BOP51" s="166"/>
      <c r="BOQ51" s="166"/>
      <c r="BOR51" s="166"/>
      <c r="BOS51" s="166"/>
      <c r="BOT51" s="166"/>
      <c r="BOU51" s="166"/>
      <c r="BOV51" s="166"/>
      <c r="BOW51" s="166"/>
      <c r="BOX51" s="166"/>
      <c r="BOY51" s="166"/>
      <c r="BOZ51" s="166"/>
      <c r="BPA51" s="166"/>
      <c r="BPB51" s="166"/>
      <c r="BPC51" s="166"/>
      <c r="BPD51" s="166"/>
      <c r="BPE51" s="166"/>
      <c r="BPF51" s="166"/>
      <c r="BPG51" s="166"/>
      <c r="BPH51" s="166"/>
      <c r="BPI51" s="166"/>
      <c r="BPJ51" s="166"/>
      <c r="BPK51" s="166"/>
      <c r="BPL51" s="166"/>
      <c r="BPM51" s="166"/>
      <c r="BPN51" s="166"/>
      <c r="BPO51" s="166"/>
      <c r="BPP51" s="166"/>
      <c r="BPQ51" s="166"/>
      <c r="BPR51" s="166"/>
      <c r="BPS51" s="166"/>
      <c r="BPT51" s="166"/>
      <c r="BPU51" s="166"/>
      <c r="BPV51" s="166"/>
      <c r="BPW51" s="166"/>
      <c r="BPX51" s="166"/>
      <c r="BPY51" s="166"/>
      <c r="BPZ51" s="166"/>
      <c r="BQA51" s="166"/>
      <c r="BQB51" s="166"/>
      <c r="BQC51" s="166"/>
      <c r="BQD51" s="166"/>
      <c r="BQE51" s="166"/>
      <c r="BQF51" s="166"/>
      <c r="BQG51" s="166"/>
      <c r="BQH51" s="166"/>
      <c r="BQI51" s="166"/>
      <c r="BQJ51" s="166"/>
      <c r="BQK51" s="166"/>
      <c r="BQL51" s="166"/>
      <c r="BQM51" s="166"/>
      <c r="BQN51" s="166"/>
      <c r="BQO51" s="166"/>
      <c r="BQP51" s="166"/>
      <c r="BQQ51" s="166"/>
      <c r="BQR51" s="166"/>
      <c r="BQS51" s="166"/>
      <c r="BQT51" s="166"/>
      <c r="BQU51" s="166"/>
      <c r="BQV51" s="166"/>
      <c r="BQW51" s="166"/>
      <c r="BQX51" s="166"/>
      <c r="BQY51" s="166"/>
      <c r="BQZ51" s="166"/>
      <c r="BRA51" s="166"/>
      <c r="BRB51" s="166"/>
      <c r="BRC51" s="166"/>
      <c r="BRD51" s="166"/>
      <c r="BRE51" s="166"/>
      <c r="BRF51" s="166"/>
      <c r="BRG51" s="166"/>
      <c r="BRH51" s="166"/>
      <c r="BRI51" s="166"/>
      <c r="BRJ51" s="166"/>
      <c r="BRK51" s="166"/>
      <c r="BRL51" s="166"/>
      <c r="BRM51" s="166"/>
      <c r="BRN51" s="166"/>
      <c r="BRO51" s="166"/>
      <c r="BRP51" s="166"/>
      <c r="BRQ51" s="166"/>
      <c r="BRR51" s="166"/>
      <c r="BRS51" s="166"/>
      <c r="BRT51" s="166"/>
      <c r="BRU51" s="166"/>
      <c r="BRV51" s="166"/>
      <c r="BRW51" s="166"/>
      <c r="BRX51" s="166"/>
      <c r="BRY51" s="166"/>
      <c r="BRZ51" s="166"/>
      <c r="BSA51" s="166"/>
      <c r="BSB51" s="166"/>
      <c r="BSC51" s="166"/>
      <c r="BSD51" s="166"/>
      <c r="BSE51" s="166"/>
      <c r="BSF51" s="166"/>
      <c r="BSG51" s="166"/>
      <c r="BSH51" s="166"/>
      <c r="BSI51" s="166"/>
      <c r="BSJ51" s="166"/>
      <c r="BSK51" s="166"/>
      <c r="BSL51" s="166"/>
      <c r="BSM51" s="166"/>
      <c r="BSN51" s="166"/>
      <c r="BSO51" s="166"/>
      <c r="BSP51" s="166"/>
      <c r="BSQ51" s="166"/>
      <c r="BSR51" s="166"/>
      <c r="BSS51" s="166"/>
    </row>
    <row r="52" spans="1:1865" ht="20.100000000000001" customHeight="1" x14ac:dyDescent="0.25">
      <c r="A52" s="100" t="s">
        <v>21</v>
      </c>
      <c r="B52" s="63" t="str">
        <f>IF(LEN(C89)=0,"",C89)</f>
        <v/>
      </c>
      <c r="C52" s="208"/>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165"/>
      <c r="BHG52" s="166"/>
      <c r="BHH52" s="166"/>
      <c r="BHI52" s="166"/>
      <c r="BHJ52" s="166"/>
      <c r="BHK52" s="166"/>
      <c r="BHL52" s="166"/>
      <c r="BHM52" s="166"/>
      <c r="BHN52" s="166"/>
      <c r="BHO52" s="166"/>
      <c r="BHP52" s="166"/>
      <c r="BHQ52" s="166"/>
      <c r="BHR52" s="166"/>
      <c r="BHS52" s="166"/>
      <c r="BHT52" s="166"/>
      <c r="BHU52" s="166"/>
      <c r="BHV52" s="166"/>
      <c r="BHW52" s="166"/>
      <c r="BHX52" s="166"/>
      <c r="BHY52" s="166"/>
      <c r="BHZ52" s="166"/>
      <c r="BIA52" s="166"/>
      <c r="BIB52" s="166"/>
      <c r="BIC52" s="166"/>
      <c r="BID52" s="166"/>
      <c r="BIE52" s="166"/>
      <c r="BIF52" s="166"/>
      <c r="BIG52" s="166"/>
      <c r="BIH52" s="166"/>
      <c r="BII52" s="166"/>
      <c r="BIJ52" s="166"/>
      <c r="BIK52" s="166"/>
      <c r="BIL52" s="166"/>
      <c r="BIM52" s="166"/>
      <c r="BIN52" s="166"/>
      <c r="BIO52" s="166"/>
      <c r="BIP52" s="166"/>
      <c r="BIQ52" s="166"/>
      <c r="BIR52" s="166"/>
      <c r="BIS52" s="166"/>
      <c r="BIT52" s="166"/>
      <c r="BIU52" s="166"/>
      <c r="BIV52" s="166"/>
      <c r="BIW52" s="166"/>
      <c r="BIX52" s="166"/>
      <c r="BIY52" s="166"/>
      <c r="BIZ52" s="166"/>
      <c r="BJA52" s="166"/>
      <c r="BJB52" s="166"/>
      <c r="BJC52" s="166"/>
      <c r="BJD52" s="166"/>
      <c r="BJE52" s="166"/>
      <c r="BJF52" s="166"/>
      <c r="BJG52" s="166"/>
      <c r="BJH52" s="166"/>
      <c r="BJI52" s="166"/>
      <c r="BJJ52" s="166"/>
      <c r="BJK52" s="166"/>
      <c r="BJL52" s="166"/>
      <c r="BJM52" s="166"/>
      <c r="BJN52" s="166"/>
      <c r="BJO52" s="166"/>
      <c r="BJP52" s="166"/>
      <c r="BJQ52" s="166"/>
      <c r="BJR52" s="166"/>
      <c r="BJS52" s="166"/>
      <c r="BJT52" s="166"/>
      <c r="BJU52" s="166"/>
      <c r="BJV52" s="166"/>
      <c r="BJW52" s="166"/>
      <c r="BJX52" s="166"/>
      <c r="BJY52" s="166"/>
      <c r="BJZ52" s="166"/>
      <c r="BKA52" s="166"/>
      <c r="BKB52" s="166"/>
      <c r="BKC52" s="166"/>
      <c r="BKD52" s="166"/>
      <c r="BKE52" s="166"/>
      <c r="BKF52" s="166"/>
      <c r="BKG52" s="166"/>
      <c r="BKH52" s="166"/>
      <c r="BKI52" s="166"/>
      <c r="BKJ52" s="166"/>
      <c r="BKK52" s="166"/>
      <c r="BKL52" s="166"/>
      <c r="BKM52" s="166"/>
      <c r="BKN52" s="166"/>
      <c r="BKO52" s="166"/>
      <c r="BKP52" s="166"/>
      <c r="BKQ52" s="166"/>
      <c r="BKR52" s="166"/>
      <c r="BKS52" s="166"/>
      <c r="BKT52" s="166"/>
      <c r="BKU52" s="166"/>
      <c r="BKV52" s="166"/>
      <c r="BKW52" s="166"/>
      <c r="BKX52" s="166"/>
      <c r="BKY52" s="166"/>
      <c r="BKZ52" s="166"/>
      <c r="BLA52" s="166"/>
      <c r="BLB52" s="166"/>
      <c r="BLC52" s="166"/>
      <c r="BLD52" s="166"/>
      <c r="BLE52" s="166"/>
      <c r="BLF52" s="166"/>
      <c r="BLG52" s="166"/>
      <c r="BLH52" s="166"/>
      <c r="BLI52" s="166"/>
      <c r="BLJ52" s="166"/>
      <c r="BLK52" s="166"/>
      <c r="BLL52" s="166"/>
      <c r="BLM52" s="166"/>
      <c r="BLN52" s="166"/>
      <c r="BLO52" s="166"/>
      <c r="BLP52" s="166"/>
      <c r="BLQ52" s="166"/>
      <c r="BLR52" s="166"/>
      <c r="BLS52" s="166"/>
      <c r="BLT52" s="166"/>
      <c r="BLU52" s="166"/>
      <c r="BLV52" s="166"/>
      <c r="BLW52" s="166"/>
      <c r="BLX52" s="166"/>
      <c r="BLY52" s="166"/>
      <c r="BLZ52" s="166"/>
      <c r="BMA52" s="166"/>
      <c r="BMB52" s="166"/>
      <c r="BMC52" s="166"/>
      <c r="BMD52" s="166"/>
      <c r="BME52" s="166"/>
      <c r="BMF52" s="166"/>
      <c r="BMG52" s="166"/>
      <c r="BMH52" s="166"/>
      <c r="BMI52" s="166"/>
      <c r="BMJ52" s="166"/>
      <c r="BMK52" s="166"/>
      <c r="BML52" s="166"/>
      <c r="BMM52" s="166"/>
      <c r="BMN52" s="166"/>
      <c r="BMO52" s="166"/>
      <c r="BMP52" s="166"/>
      <c r="BMQ52" s="166"/>
      <c r="BMR52" s="166"/>
      <c r="BMS52" s="166"/>
      <c r="BMT52" s="166"/>
      <c r="BMU52" s="166"/>
      <c r="BMV52" s="166"/>
      <c r="BMW52" s="166"/>
      <c r="BMX52" s="166"/>
      <c r="BMY52" s="166"/>
      <c r="BMZ52" s="166"/>
      <c r="BNA52" s="166"/>
      <c r="BNB52" s="166"/>
      <c r="BNC52" s="166"/>
      <c r="BND52" s="166"/>
      <c r="BNE52" s="166"/>
      <c r="BNF52" s="166"/>
      <c r="BNG52" s="166"/>
      <c r="BNH52" s="166"/>
      <c r="BNI52" s="166"/>
      <c r="BNJ52" s="166"/>
      <c r="BNK52" s="166"/>
      <c r="BNL52" s="166"/>
      <c r="BNM52" s="166"/>
      <c r="BNN52" s="166"/>
      <c r="BNO52" s="166"/>
      <c r="BNP52" s="166"/>
      <c r="BNQ52" s="166"/>
      <c r="BNR52" s="166"/>
      <c r="BNS52" s="166"/>
      <c r="BNT52" s="166"/>
      <c r="BNU52" s="166"/>
      <c r="BNV52" s="166"/>
      <c r="BNW52" s="166"/>
      <c r="BNX52" s="166"/>
      <c r="BNY52" s="166"/>
      <c r="BNZ52" s="166"/>
      <c r="BOA52" s="166"/>
      <c r="BOB52" s="166"/>
      <c r="BOC52" s="166"/>
      <c r="BOD52" s="166"/>
      <c r="BOE52" s="166"/>
      <c r="BOF52" s="166"/>
      <c r="BOG52" s="166"/>
      <c r="BOH52" s="166"/>
      <c r="BOI52" s="166"/>
      <c r="BOJ52" s="166"/>
      <c r="BOK52" s="166"/>
      <c r="BOL52" s="166"/>
      <c r="BOM52" s="166"/>
      <c r="BON52" s="166"/>
      <c r="BOO52" s="166"/>
      <c r="BOP52" s="166"/>
      <c r="BOQ52" s="166"/>
      <c r="BOR52" s="166"/>
      <c r="BOS52" s="166"/>
      <c r="BOT52" s="166"/>
      <c r="BOU52" s="166"/>
      <c r="BOV52" s="166"/>
      <c r="BOW52" s="166"/>
      <c r="BOX52" s="166"/>
      <c r="BOY52" s="166"/>
      <c r="BOZ52" s="166"/>
      <c r="BPA52" s="166"/>
      <c r="BPB52" s="166"/>
      <c r="BPC52" s="166"/>
      <c r="BPD52" s="166"/>
      <c r="BPE52" s="166"/>
      <c r="BPF52" s="166"/>
      <c r="BPG52" s="166"/>
      <c r="BPH52" s="166"/>
      <c r="BPI52" s="166"/>
      <c r="BPJ52" s="166"/>
      <c r="BPK52" s="166"/>
      <c r="BPL52" s="166"/>
      <c r="BPM52" s="166"/>
      <c r="BPN52" s="166"/>
      <c r="BPO52" s="166"/>
      <c r="BPP52" s="166"/>
      <c r="BPQ52" s="166"/>
      <c r="BPR52" s="166"/>
      <c r="BPS52" s="166"/>
      <c r="BPT52" s="166"/>
      <c r="BPU52" s="166"/>
      <c r="BPV52" s="166"/>
      <c r="BPW52" s="166"/>
      <c r="BPX52" s="166"/>
      <c r="BPY52" s="166"/>
      <c r="BPZ52" s="166"/>
      <c r="BQA52" s="166"/>
      <c r="BQB52" s="166"/>
      <c r="BQC52" s="166"/>
      <c r="BQD52" s="166"/>
      <c r="BQE52" s="166"/>
      <c r="BQF52" s="166"/>
      <c r="BQG52" s="166"/>
      <c r="BQH52" s="166"/>
      <c r="BQI52" s="166"/>
      <c r="BQJ52" s="166"/>
      <c r="BQK52" s="166"/>
      <c r="BQL52" s="166"/>
      <c r="BQM52" s="166"/>
      <c r="BQN52" s="166"/>
      <c r="BQO52" s="166"/>
      <c r="BQP52" s="166"/>
      <c r="BQQ52" s="166"/>
      <c r="BQR52" s="166"/>
      <c r="BQS52" s="166"/>
      <c r="BQT52" s="166"/>
      <c r="BQU52" s="166"/>
      <c r="BQV52" s="166"/>
      <c r="BQW52" s="166"/>
      <c r="BQX52" s="166"/>
      <c r="BQY52" s="166"/>
      <c r="BQZ52" s="166"/>
      <c r="BRA52" s="166"/>
      <c r="BRB52" s="166"/>
      <c r="BRC52" s="166"/>
      <c r="BRD52" s="166"/>
      <c r="BRE52" s="166"/>
      <c r="BRF52" s="166"/>
      <c r="BRG52" s="166"/>
      <c r="BRH52" s="166"/>
      <c r="BRI52" s="166"/>
      <c r="BRJ52" s="166"/>
      <c r="BRK52" s="166"/>
      <c r="BRL52" s="166"/>
      <c r="BRM52" s="166"/>
      <c r="BRN52" s="166"/>
      <c r="BRO52" s="166"/>
      <c r="BRP52" s="166"/>
      <c r="BRQ52" s="166"/>
      <c r="BRR52" s="166"/>
      <c r="BRS52" s="166"/>
      <c r="BRT52" s="166"/>
      <c r="BRU52" s="166"/>
      <c r="BRV52" s="166"/>
      <c r="BRW52" s="166"/>
      <c r="BRX52" s="166"/>
      <c r="BRY52" s="166"/>
      <c r="BRZ52" s="166"/>
      <c r="BSA52" s="166"/>
      <c r="BSB52" s="166"/>
      <c r="BSC52" s="166"/>
      <c r="BSD52" s="166"/>
      <c r="BSE52" s="166"/>
      <c r="BSF52" s="166"/>
      <c r="BSG52" s="166"/>
      <c r="BSH52" s="166"/>
      <c r="BSI52" s="166"/>
      <c r="BSJ52" s="166"/>
      <c r="BSK52" s="166"/>
      <c r="BSL52" s="166"/>
      <c r="BSM52" s="166"/>
      <c r="BSN52" s="166"/>
      <c r="BSO52" s="166"/>
      <c r="BSP52" s="166"/>
      <c r="BSQ52" s="166"/>
      <c r="BSR52" s="166"/>
      <c r="BSS52" s="166"/>
    </row>
    <row r="53" spans="1:1865" ht="20.100000000000001" customHeight="1" x14ac:dyDescent="0.25">
      <c r="A53" s="100" t="s">
        <v>20</v>
      </c>
      <c r="B53" s="63" t="str">
        <f>IF(LEN(C91)=0,"",C91)</f>
        <v/>
      </c>
      <c r="C53" s="207"/>
      <c r="D53" s="146"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165"/>
      <c r="BHG53" s="166"/>
      <c r="BHH53" s="166"/>
      <c r="BHI53" s="166"/>
      <c r="BHJ53" s="166"/>
      <c r="BHK53" s="166"/>
      <c r="BHL53" s="166"/>
      <c r="BHM53" s="166"/>
      <c r="BHN53" s="166"/>
      <c r="BHO53" s="166"/>
      <c r="BHP53" s="166"/>
      <c r="BHQ53" s="166"/>
      <c r="BHR53" s="166"/>
      <c r="BHS53" s="166"/>
      <c r="BHT53" s="166"/>
      <c r="BHU53" s="166"/>
      <c r="BHV53" s="166"/>
      <c r="BHW53" s="166"/>
      <c r="BHX53" s="166"/>
      <c r="BHY53" s="166"/>
      <c r="BHZ53" s="166"/>
      <c r="BIA53" s="166"/>
      <c r="BIB53" s="166"/>
      <c r="BIC53" s="166"/>
      <c r="BID53" s="166"/>
      <c r="BIE53" s="166"/>
      <c r="BIF53" s="166"/>
      <c r="BIG53" s="166"/>
      <c r="BIH53" s="166"/>
      <c r="BII53" s="166"/>
      <c r="BIJ53" s="166"/>
      <c r="BIK53" s="166"/>
      <c r="BIL53" s="166"/>
      <c r="BIM53" s="166"/>
      <c r="BIN53" s="166"/>
      <c r="BIO53" s="166"/>
      <c r="BIP53" s="166"/>
      <c r="BIQ53" s="166"/>
      <c r="BIR53" s="166"/>
      <c r="BIS53" s="166"/>
      <c r="BIT53" s="166"/>
      <c r="BIU53" s="166"/>
      <c r="BIV53" s="166"/>
      <c r="BIW53" s="166"/>
      <c r="BIX53" s="166"/>
      <c r="BIY53" s="166"/>
      <c r="BIZ53" s="166"/>
      <c r="BJA53" s="166"/>
      <c r="BJB53" s="166"/>
      <c r="BJC53" s="166"/>
      <c r="BJD53" s="166"/>
      <c r="BJE53" s="166"/>
      <c r="BJF53" s="166"/>
      <c r="BJG53" s="166"/>
      <c r="BJH53" s="166"/>
      <c r="BJI53" s="166"/>
      <c r="BJJ53" s="166"/>
      <c r="BJK53" s="166"/>
      <c r="BJL53" s="166"/>
      <c r="BJM53" s="166"/>
      <c r="BJN53" s="166"/>
      <c r="BJO53" s="166"/>
      <c r="BJP53" s="166"/>
      <c r="BJQ53" s="166"/>
      <c r="BJR53" s="166"/>
      <c r="BJS53" s="166"/>
      <c r="BJT53" s="166"/>
      <c r="BJU53" s="166"/>
      <c r="BJV53" s="166"/>
      <c r="BJW53" s="166"/>
      <c r="BJX53" s="166"/>
      <c r="BJY53" s="166"/>
      <c r="BJZ53" s="166"/>
      <c r="BKA53" s="166"/>
      <c r="BKB53" s="166"/>
      <c r="BKC53" s="166"/>
      <c r="BKD53" s="166"/>
      <c r="BKE53" s="166"/>
      <c r="BKF53" s="166"/>
      <c r="BKG53" s="166"/>
      <c r="BKH53" s="166"/>
      <c r="BKI53" s="166"/>
      <c r="BKJ53" s="166"/>
      <c r="BKK53" s="166"/>
      <c r="BKL53" s="166"/>
      <c r="BKM53" s="166"/>
      <c r="BKN53" s="166"/>
      <c r="BKO53" s="166"/>
      <c r="BKP53" s="166"/>
      <c r="BKQ53" s="166"/>
      <c r="BKR53" s="166"/>
      <c r="BKS53" s="166"/>
      <c r="BKT53" s="166"/>
      <c r="BKU53" s="166"/>
      <c r="BKV53" s="166"/>
      <c r="BKW53" s="166"/>
      <c r="BKX53" s="166"/>
      <c r="BKY53" s="166"/>
      <c r="BKZ53" s="166"/>
      <c r="BLA53" s="166"/>
      <c r="BLB53" s="166"/>
      <c r="BLC53" s="166"/>
      <c r="BLD53" s="166"/>
      <c r="BLE53" s="166"/>
      <c r="BLF53" s="166"/>
      <c r="BLG53" s="166"/>
      <c r="BLH53" s="166"/>
      <c r="BLI53" s="166"/>
      <c r="BLJ53" s="166"/>
      <c r="BLK53" s="166"/>
      <c r="BLL53" s="166"/>
      <c r="BLM53" s="166"/>
      <c r="BLN53" s="166"/>
      <c r="BLO53" s="166"/>
      <c r="BLP53" s="166"/>
      <c r="BLQ53" s="166"/>
      <c r="BLR53" s="166"/>
      <c r="BLS53" s="166"/>
      <c r="BLT53" s="166"/>
      <c r="BLU53" s="166"/>
      <c r="BLV53" s="166"/>
      <c r="BLW53" s="166"/>
      <c r="BLX53" s="166"/>
      <c r="BLY53" s="166"/>
      <c r="BLZ53" s="166"/>
      <c r="BMA53" s="166"/>
      <c r="BMB53" s="166"/>
      <c r="BMC53" s="166"/>
      <c r="BMD53" s="166"/>
      <c r="BME53" s="166"/>
      <c r="BMF53" s="166"/>
      <c r="BMG53" s="166"/>
      <c r="BMH53" s="166"/>
      <c r="BMI53" s="166"/>
      <c r="BMJ53" s="166"/>
      <c r="BMK53" s="166"/>
      <c r="BML53" s="166"/>
      <c r="BMM53" s="166"/>
      <c r="BMN53" s="166"/>
      <c r="BMO53" s="166"/>
      <c r="BMP53" s="166"/>
      <c r="BMQ53" s="166"/>
      <c r="BMR53" s="166"/>
      <c r="BMS53" s="166"/>
      <c r="BMT53" s="166"/>
      <c r="BMU53" s="166"/>
      <c r="BMV53" s="166"/>
      <c r="BMW53" s="166"/>
      <c r="BMX53" s="166"/>
      <c r="BMY53" s="166"/>
      <c r="BMZ53" s="166"/>
      <c r="BNA53" s="166"/>
      <c r="BNB53" s="166"/>
      <c r="BNC53" s="166"/>
      <c r="BND53" s="166"/>
      <c r="BNE53" s="166"/>
      <c r="BNF53" s="166"/>
      <c r="BNG53" s="166"/>
      <c r="BNH53" s="166"/>
      <c r="BNI53" s="166"/>
      <c r="BNJ53" s="166"/>
      <c r="BNK53" s="166"/>
      <c r="BNL53" s="166"/>
      <c r="BNM53" s="166"/>
      <c r="BNN53" s="166"/>
      <c r="BNO53" s="166"/>
      <c r="BNP53" s="166"/>
      <c r="BNQ53" s="166"/>
      <c r="BNR53" s="166"/>
      <c r="BNS53" s="166"/>
      <c r="BNT53" s="166"/>
      <c r="BNU53" s="166"/>
      <c r="BNV53" s="166"/>
      <c r="BNW53" s="166"/>
      <c r="BNX53" s="166"/>
      <c r="BNY53" s="166"/>
      <c r="BNZ53" s="166"/>
      <c r="BOA53" s="166"/>
      <c r="BOB53" s="166"/>
      <c r="BOC53" s="166"/>
      <c r="BOD53" s="166"/>
      <c r="BOE53" s="166"/>
      <c r="BOF53" s="166"/>
      <c r="BOG53" s="166"/>
      <c r="BOH53" s="166"/>
      <c r="BOI53" s="166"/>
      <c r="BOJ53" s="166"/>
      <c r="BOK53" s="166"/>
      <c r="BOL53" s="166"/>
      <c r="BOM53" s="166"/>
      <c r="BON53" s="166"/>
      <c r="BOO53" s="166"/>
      <c r="BOP53" s="166"/>
      <c r="BOQ53" s="166"/>
      <c r="BOR53" s="166"/>
      <c r="BOS53" s="166"/>
      <c r="BOT53" s="166"/>
      <c r="BOU53" s="166"/>
      <c r="BOV53" s="166"/>
      <c r="BOW53" s="166"/>
      <c r="BOX53" s="166"/>
      <c r="BOY53" s="166"/>
      <c r="BOZ53" s="166"/>
      <c r="BPA53" s="166"/>
      <c r="BPB53" s="166"/>
      <c r="BPC53" s="166"/>
      <c r="BPD53" s="166"/>
      <c r="BPE53" s="166"/>
      <c r="BPF53" s="166"/>
      <c r="BPG53" s="166"/>
      <c r="BPH53" s="166"/>
      <c r="BPI53" s="166"/>
      <c r="BPJ53" s="166"/>
      <c r="BPK53" s="166"/>
      <c r="BPL53" s="166"/>
      <c r="BPM53" s="166"/>
      <c r="BPN53" s="166"/>
      <c r="BPO53" s="166"/>
      <c r="BPP53" s="166"/>
      <c r="BPQ53" s="166"/>
      <c r="BPR53" s="166"/>
      <c r="BPS53" s="166"/>
      <c r="BPT53" s="166"/>
      <c r="BPU53" s="166"/>
      <c r="BPV53" s="166"/>
      <c r="BPW53" s="166"/>
      <c r="BPX53" s="166"/>
      <c r="BPY53" s="166"/>
      <c r="BPZ53" s="166"/>
      <c r="BQA53" s="166"/>
      <c r="BQB53" s="166"/>
      <c r="BQC53" s="166"/>
      <c r="BQD53" s="166"/>
      <c r="BQE53" s="166"/>
      <c r="BQF53" s="166"/>
      <c r="BQG53" s="166"/>
      <c r="BQH53" s="166"/>
      <c r="BQI53" s="166"/>
      <c r="BQJ53" s="166"/>
      <c r="BQK53" s="166"/>
      <c r="BQL53" s="166"/>
      <c r="BQM53" s="166"/>
      <c r="BQN53" s="166"/>
      <c r="BQO53" s="166"/>
      <c r="BQP53" s="166"/>
      <c r="BQQ53" s="166"/>
      <c r="BQR53" s="166"/>
      <c r="BQS53" s="166"/>
      <c r="BQT53" s="166"/>
      <c r="BQU53" s="166"/>
      <c r="BQV53" s="166"/>
      <c r="BQW53" s="166"/>
      <c r="BQX53" s="166"/>
      <c r="BQY53" s="166"/>
      <c r="BQZ53" s="166"/>
      <c r="BRA53" s="166"/>
      <c r="BRB53" s="166"/>
      <c r="BRC53" s="166"/>
      <c r="BRD53" s="166"/>
      <c r="BRE53" s="166"/>
      <c r="BRF53" s="166"/>
      <c r="BRG53" s="166"/>
      <c r="BRH53" s="166"/>
      <c r="BRI53" s="166"/>
      <c r="BRJ53" s="166"/>
      <c r="BRK53" s="166"/>
      <c r="BRL53" s="166"/>
      <c r="BRM53" s="166"/>
      <c r="BRN53" s="166"/>
      <c r="BRO53" s="166"/>
      <c r="BRP53" s="166"/>
      <c r="BRQ53" s="166"/>
      <c r="BRR53" s="166"/>
      <c r="BRS53" s="166"/>
      <c r="BRT53" s="166"/>
      <c r="BRU53" s="166"/>
      <c r="BRV53" s="166"/>
      <c r="BRW53" s="166"/>
      <c r="BRX53" s="166"/>
      <c r="BRY53" s="166"/>
      <c r="BRZ53" s="166"/>
      <c r="BSA53" s="166"/>
      <c r="BSB53" s="166"/>
      <c r="BSC53" s="166"/>
      <c r="BSD53" s="166"/>
      <c r="BSE53" s="166"/>
      <c r="BSF53" s="166"/>
      <c r="BSG53" s="166"/>
      <c r="BSH53" s="166"/>
      <c r="BSI53" s="166"/>
      <c r="BSJ53" s="166"/>
      <c r="BSK53" s="166"/>
      <c r="BSL53" s="166"/>
      <c r="BSM53" s="166"/>
      <c r="BSN53" s="166"/>
      <c r="BSO53" s="166"/>
      <c r="BSP53" s="166"/>
      <c r="BSQ53" s="166"/>
      <c r="BSR53" s="166"/>
      <c r="BSS53" s="166"/>
    </row>
    <row r="54" spans="1:1865" ht="20.100000000000001" customHeight="1" x14ac:dyDescent="0.3">
      <c r="A54" s="100" t="s">
        <v>21</v>
      </c>
      <c r="B54" s="63" t="str">
        <f>IF(LEN(C93)=0,"",C93)</f>
        <v/>
      </c>
      <c r="C54" s="218"/>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165"/>
      <c r="BHG54" s="166"/>
      <c r="BHH54" s="166"/>
      <c r="BHI54" s="166"/>
      <c r="BHJ54" s="166"/>
      <c r="BHK54" s="166"/>
      <c r="BHL54" s="166"/>
      <c r="BHM54" s="166"/>
      <c r="BHN54" s="166"/>
      <c r="BHO54" s="166"/>
      <c r="BHP54" s="166"/>
      <c r="BHQ54" s="166"/>
      <c r="BHR54" s="166"/>
      <c r="BHS54" s="166"/>
      <c r="BHT54" s="166"/>
      <c r="BHU54" s="166"/>
      <c r="BHV54" s="166"/>
      <c r="BHW54" s="166"/>
      <c r="BHX54" s="166"/>
      <c r="BHY54" s="166"/>
      <c r="BHZ54" s="166"/>
      <c r="BIA54" s="166"/>
      <c r="BIB54" s="166"/>
      <c r="BIC54" s="166"/>
      <c r="BID54" s="166"/>
      <c r="BIE54" s="166"/>
      <c r="BIF54" s="166"/>
      <c r="BIG54" s="166"/>
      <c r="BIH54" s="166"/>
      <c r="BII54" s="166"/>
      <c r="BIJ54" s="166"/>
      <c r="BIK54" s="166"/>
      <c r="BIL54" s="166"/>
      <c r="BIM54" s="166"/>
      <c r="BIN54" s="166"/>
      <c r="BIO54" s="166"/>
      <c r="BIP54" s="166"/>
      <c r="BIQ54" s="166"/>
      <c r="BIR54" s="166"/>
      <c r="BIS54" s="166"/>
      <c r="BIT54" s="166"/>
      <c r="BIU54" s="166"/>
      <c r="BIV54" s="166"/>
      <c r="BIW54" s="166"/>
      <c r="BIX54" s="166"/>
      <c r="BIY54" s="166"/>
      <c r="BIZ54" s="166"/>
      <c r="BJA54" s="166"/>
      <c r="BJB54" s="166"/>
      <c r="BJC54" s="166"/>
      <c r="BJD54" s="166"/>
      <c r="BJE54" s="166"/>
      <c r="BJF54" s="166"/>
      <c r="BJG54" s="166"/>
      <c r="BJH54" s="166"/>
      <c r="BJI54" s="166"/>
      <c r="BJJ54" s="166"/>
      <c r="BJK54" s="166"/>
      <c r="BJL54" s="166"/>
      <c r="BJM54" s="166"/>
      <c r="BJN54" s="166"/>
      <c r="BJO54" s="166"/>
      <c r="BJP54" s="166"/>
      <c r="BJQ54" s="166"/>
      <c r="BJR54" s="166"/>
      <c r="BJS54" s="166"/>
      <c r="BJT54" s="166"/>
      <c r="BJU54" s="166"/>
      <c r="BJV54" s="166"/>
      <c r="BJW54" s="166"/>
      <c r="BJX54" s="166"/>
      <c r="BJY54" s="166"/>
      <c r="BJZ54" s="166"/>
      <c r="BKA54" s="166"/>
      <c r="BKB54" s="166"/>
      <c r="BKC54" s="166"/>
      <c r="BKD54" s="166"/>
      <c r="BKE54" s="166"/>
      <c r="BKF54" s="166"/>
      <c r="BKG54" s="166"/>
      <c r="BKH54" s="166"/>
      <c r="BKI54" s="166"/>
      <c r="BKJ54" s="166"/>
      <c r="BKK54" s="166"/>
      <c r="BKL54" s="166"/>
      <c r="BKM54" s="166"/>
      <c r="BKN54" s="166"/>
      <c r="BKO54" s="166"/>
      <c r="BKP54" s="166"/>
      <c r="BKQ54" s="166"/>
      <c r="BKR54" s="166"/>
      <c r="BKS54" s="166"/>
      <c r="BKT54" s="166"/>
      <c r="BKU54" s="166"/>
      <c r="BKV54" s="166"/>
      <c r="BKW54" s="166"/>
      <c r="BKX54" s="166"/>
      <c r="BKY54" s="166"/>
      <c r="BKZ54" s="166"/>
      <c r="BLA54" s="166"/>
      <c r="BLB54" s="166"/>
      <c r="BLC54" s="166"/>
      <c r="BLD54" s="166"/>
      <c r="BLE54" s="166"/>
      <c r="BLF54" s="166"/>
      <c r="BLG54" s="166"/>
      <c r="BLH54" s="166"/>
      <c r="BLI54" s="166"/>
      <c r="BLJ54" s="166"/>
      <c r="BLK54" s="166"/>
      <c r="BLL54" s="166"/>
      <c r="BLM54" s="166"/>
      <c r="BLN54" s="166"/>
      <c r="BLO54" s="166"/>
      <c r="BLP54" s="166"/>
      <c r="BLQ54" s="166"/>
      <c r="BLR54" s="166"/>
      <c r="BLS54" s="166"/>
      <c r="BLT54" s="166"/>
      <c r="BLU54" s="166"/>
      <c r="BLV54" s="166"/>
      <c r="BLW54" s="166"/>
      <c r="BLX54" s="166"/>
      <c r="BLY54" s="166"/>
      <c r="BLZ54" s="166"/>
      <c r="BMA54" s="166"/>
      <c r="BMB54" s="166"/>
      <c r="BMC54" s="166"/>
      <c r="BMD54" s="166"/>
      <c r="BME54" s="166"/>
      <c r="BMF54" s="166"/>
      <c r="BMG54" s="166"/>
      <c r="BMH54" s="166"/>
      <c r="BMI54" s="166"/>
      <c r="BMJ54" s="166"/>
      <c r="BMK54" s="166"/>
      <c r="BML54" s="166"/>
      <c r="BMM54" s="166"/>
      <c r="BMN54" s="166"/>
      <c r="BMO54" s="166"/>
      <c r="BMP54" s="166"/>
      <c r="BMQ54" s="166"/>
      <c r="BMR54" s="166"/>
      <c r="BMS54" s="166"/>
      <c r="BMT54" s="166"/>
      <c r="BMU54" s="166"/>
      <c r="BMV54" s="166"/>
      <c r="BMW54" s="166"/>
      <c r="BMX54" s="166"/>
      <c r="BMY54" s="166"/>
      <c r="BMZ54" s="166"/>
      <c r="BNA54" s="166"/>
      <c r="BNB54" s="166"/>
      <c r="BNC54" s="166"/>
      <c r="BND54" s="166"/>
      <c r="BNE54" s="166"/>
      <c r="BNF54" s="166"/>
      <c r="BNG54" s="166"/>
      <c r="BNH54" s="166"/>
      <c r="BNI54" s="166"/>
      <c r="BNJ54" s="166"/>
      <c r="BNK54" s="166"/>
      <c r="BNL54" s="166"/>
      <c r="BNM54" s="166"/>
      <c r="BNN54" s="166"/>
      <c r="BNO54" s="166"/>
      <c r="BNP54" s="166"/>
      <c r="BNQ54" s="166"/>
      <c r="BNR54" s="166"/>
      <c r="BNS54" s="166"/>
      <c r="BNT54" s="166"/>
      <c r="BNU54" s="166"/>
      <c r="BNV54" s="166"/>
      <c r="BNW54" s="166"/>
      <c r="BNX54" s="166"/>
      <c r="BNY54" s="166"/>
      <c r="BNZ54" s="166"/>
      <c r="BOA54" s="166"/>
      <c r="BOB54" s="166"/>
      <c r="BOC54" s="166"/>
      <c r="BOD54" s="166"/>
      <c r="BOE54" s="166"/>
      <c r="BOF54" s="166"/>
      <c r="BOG54" s="166"/>
      <c r="BOH54" s="166"/>
      <c r="BOI54" s="166"/>
      <c r="BOJ54" s="166"/>
      <c r="BOK54" s="166"/>
      <c r="BOL54" s="166"/>
      <c r="BOM54" s="166"/>
      <c r="BON54" s="166"/>
      <c r="BOO54" s="166"/>
      <c r="BOP54" s="166"/>
      <c r="BOQ54" s="166"/>
      <c r="BOR54" s="166"/>
      <c r="BOS54" s="166"/>
      <c r="BOT54" s="166"/>
      <c r="BOU54" s="166"/>
      <c r="BOV54" s="166"/>
      <c r="BOW54" s="166"/>
      <c r="BOX54" s="166"/>
      <c r="BOY54" s="166"/>
      <c r="BOZ54" s="166"/>
      <c r="BPA54" s="166"/>
      <c r="BPB54" s="166"/>
      <c r="BPC54" s="166"/>
      <c r="BPD54" s="166"/>
      <c r="BPE54" s="166"/>
      <c r="BPF54" s="166"/>
      <c r="BPG54" s="166"/>
      <c r="BPH54" s="166"/>
      <c r="BPI54" s="166"/>
      <c r="BPJ54" s="166"/>
      <c r="BPK54" s="166"/>
      <c r="BPL54" s="166"/>
      <c r="BPM54" s="166"/>
      <c r="BPN54" s="166"/>
      <c r="BPO54" s="166"/>
      <c r="BPP54" s="166"/>
      <c r="BPQ54" s="166"/>
      <c r="BPR54" s="166"/>
      <c r="BPS54" s="166"/>
      <c r="BPT54" s="166"/>
      <c r="BPU54" s="166"/>
      <c r="BPV54" s="166"/>
      <c r="BPW54" s="166"/>
      <c r="BPX54" s="166"/>
      <c r="BPY54" s="166"/>
      <c r="BPZ54" s="166"/>
      <c r="BQA54" s="166"/>
      <c r="BQB54" s="166"/>
      <c r="BQC54" s="166"/>
      <c r="BQD54" s="166"/>
      <c r="BQE54" s="166"/>
      <c r="BQF54" s="166"/>
      <c r="BQG54" s="166"/>
      <c r="BQH54" s="166"/>
      <c r="BQI54" s="166"/>
      <c r="BQJ54" s="166"/>
      <c r="BQK54" s="166"/>
      <c r="BQL54" s="166"/>
      <c r="BQM54" s="166"/>
      <c r="BQN54" s="166"/>
      <c r="BQO54" s="166"/>
      <c r="BQP54" s="166"/>
      <c r="BQQ54" s="166"/>
      <c r="BQR54" s="166"/>
      <c r="BQS54" s="166"/>
      <c r="BQT54" s="166"/>
      <c r="BQU54" s="166"/>
      <c r="BQV54" s="166"/>
      <c r="BQW54" s="166"/>
      <c r="BQX54" s="166"/>
      <c r="BQY54" s="166"/>
      <c r="BQZ54" s="166"/>
      <c r="BRA54" s="166"/>
      <c r="BRB54" s="166"/>
      <c r="BRC54" s="166"/>
      <c r="BRD54" s="166"/>
      <c r="BRE54" s="166"/>
      <c r="BRF54" s="166"/>
      <c r="BRG54" s="166"/>
      <c r="BRH54" s="166"/>
      <c r="BRI54" s="166"/>
      <c r="BRJ54" s="166"/>
      <c r="BRK54" s="166"/>
      <c r="BRL54" s="166"/>
      <c r="BRM54" s="166"/>
      <c r="BRN54" s="166"/>
      <c r="BRO54" s="166"/>
      <c r="BRP54" s="166"/>
      <c r="BRQ54" s="166"/>
      <c r="BRR54" s="166"/>
      <c r="BRS54" s="166"/>
      <c r="BRT54" s="166"/>
      <c r="BRU54" s="166"/>
      <c r="BRV54" s="166"/>
      <c r="BRW54" s="166"/>
      <c r="BRX54" s="166"/>
      <c r="BRY54" s="166"/>
      <c r="BRZ54" s="166"/>
      <c r="BSA54" s="166"/>
      <c r="BSB54" s="166"/>
      <c r="BSC54" s="166"/>
      <c r="BSD54" s="166"/>
      <c r="BSE54" s="166"/>
      <c r="BSF54" s="166"/>
      <c r="BSG54" s="166"/>
      <c r="BSH54" s="166"/>
      <c r="BSI54" s="166"/>
      <c r="BSJ54" s="166"/>
      <c r="BSK54" s="166"/>
      <c r="BSL54" s="166"/>
      <c r="BSM54" s="166"/>
      <c r="BSN54" s="166"/>
      <c r="BSO54" s="166"/>
      <c r="BSP54" s="166"/>
      <c r="BSQ54" s="166"/>
      <c r="BSR54" s="166"/>
      <c r="BSS54" s="166"/>
    </row>
    <row r="55" spans="1:1865" ht="20.100000000000001" customHeight="1" x14ac:dyDescent="0.25">
      <c r="A55" s="100" t="s">
        <v>20</v>
      </c>
      <c r="B55" s="63"/>
      <c r="C55" s="207"/>
      <c r="D55" s="146"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165"/>
      <c r="BHG55" s="166"/>
      <c r="BHH55" s="166"/>
      <c r="BHI55" s="166"/>
      <c r="BHJ55" s="166"/>
      <c r="BHK55" s="166"/>
      <c r="BHL55" s="166"/>
      <c r="BHM55" s="166"/>
      <c r="BHN55" s="166"/>
      <c r="BHO55" s="166"/>
      <c r="BHP55" s="166"/>
      <c r="BHQ55" s="166"/>
      <c r="BHR55" s="166"/>
      <c r="BHS55" s="166"/>
      <c r="BHT55" s="166"/>
      <c r="BHU55" s="166"/>
      <c r="BHV55" s="166"/>
      <c r="BHW55" s="166"/>
      <c r="BHX55" s="166"/>
      <c r="BHY55" s="166"/>
      <c r="BHZ55" s="166"/>
      <c r="BIA55" s="166"/>
      <c r="BIB55" s="166"/>
      <c r="BIC55" s="166"/>
      <c r="BID55" s="166"/>
      <c r="BIE55" s="166"/>
      <c r="BIF55" s="166"/>
      <c r="BIG55" s="166"/>
      <c r="BIH55" s="166"/>
      <c r="BII55" s="166"/>
      <c r="BIJ55" s="166"/>
      <c r="BIK55" s="166"/>
      <c r="BIL55" s="166"/>
      <c r="BIM55" s="166"/>
      <c r="BIN55" s="166"/>
      <c r="BIO55" s="166"/>
      <c r="BIP55" s="166"/>
      <c r="BIQ55" s="166"/>
      <c r="BIR55" s="166"/>
      <c r="BIS55" s="166"/>
      <c r="BIT55" s="166"/>
      <c r="BIU55" s="166"/>
      <c r="BIV55" s="166"/>
      <c r="BIW55" s="166"/>
      <c r="BIX55" s="166"/>
      <c r="BIY55" s="166"/>
      <c r="BIZ55" s="166"/>
      <c r="BJA55" s="166"/>
      <c r="BJB55" s="166"/>
      <c r="BJC55" s="166"/>
      <c r="BJD55" s="166"/>
      <c r="BJE55" s="166"/>
      <c r="BJF55" s="166"/>
      <c r="BJG55" s="166"/>
      <c r="BJH55" s="166"/>
      <c r="BJI55" s="166"/>
      <c r="BJJ55" s="166"/>
      <c r="BJK55" s="166"/>
      <c r="BJL55" s="166"/>
      <c r="BJM55" s="166"/>
      <c r="BJN55" s="166"/>
      <c r="BJO55" s="166"/>
      <c r="BJP55" s="166"/>
      <c r="BJQ55" s="166"/>
      <c r="BJR55" s="166"/>
      <c r="BJS55" s="166"/>
      <c r="BJT55" s="166"/>
      <c r="BJU55" s="166"/>
      <c r="BJV55" s="166"/>
      <c r="BJW55" s="166"/>
      <c r="BJX55" s="166"/>
      <c r="BJY55" s="166"/>
      <c r="BJZ55" s="166"/>
      <c r="BKA55" s="166"/>
      <c r="BKB55" s="166"/>
      <c r="BKC55" s="166"/>
      <c r="BKD55" s="166"/>
      <c r="BKE55" s="166"/>
      <c r="BKF55" s="166"/>
      <c r="BKG55" s="166"/>
      <c r="BKH55" s="166"/>
      <c r="BKI55" s="166"/>
      <c r="BKJ55" s="166"/>
      <c r="BKK55" s="166"/>
      <c r="BKL55" s="166"/>
      <c r="BKM55" s="166"/>
      <c r="BKN55" s="166"/>
      <c r="BKO55" s="166"/>
      <c r="BKP55" s="166"/>
      <c r="BKQ55" s="166"/>
      <c r="BKR55" s="166"/>
      <c r="BKS55" s="166"/>
      <c r="BKT55" s="166"/>
      <c r="BKU55" s="166"/>
      <c r="BKV55" s="166"/>
      <c r="BKW55" s="166"/>
      <c r="BKX55" s="166"/>
      <c r="BKY55" s="166"/>
      <c r="BKZ55" s="166"/>
      <c r="BLA55" s="166"/>
      <c r="BLB55" s="166"/>
      <c r="BLC55" s="166"/>
      <c r="BLD55" s="166"/>
      <c r="BLE55" s="166"/>
      <c r="BLF55" s="166"/>
      <c r="BLG55" s="166"/>
      <c r="BLH55" s="166"/>
      <c r="BLI55" s="166"/>
      <c r="BLJ55" s="166"/>
      <c r="BLK55" s="166"/>
      <c r="BLL55" s="166"/>
      <c r="BLM55" s="166"/>
      <c r="BLN55" s="166"/>
      <c r="BLO55" s="166"/>
      <c r="BLP55" s="166"/>
      <c r="BLQ55" s="166"/>
      <c r="BLR55" s="166"/>
      <c r="BLS55" s="166"/>
      <c r="BLT55" s="166"/>
      <c r="BLU55" s="166"/>
      <c r="BLV55" s="166"/>
      <c r="BLW55" s="166"/>
      <c r="BLX55" s="166"/>
      <c r="BLY55" s="166"/>
      <c r="BLZ55" s="166"/>
      <c r="BMA55" s="166"/>
      <c r="BMB55" s="166"/>
      <c r="BMC55" s="166"/>
      <c r="BMD55" s="166"/>
      <c r="BME55" s="166"/>
      <c r="BMF55" s="166"/>
      <c r="BMG55" s="166"/>
      <c r="BMH55" s="166"/>
      <c r="BMI55" s="166"/>
      <c r="BMJ55" s="166"/>
      <c r="BMK55" s="166"/>
      <c r="BML55" s="166"/>
      <c r="BMM55" s="166"/>
      <c r="BMN55" s="166"/>
      <c r="BMO55" s="166"/>
      <c r="BMP55" s="166"/>
      <c r="BMQ55" s="166"/>
      <c r="BMR55" s="166"/>
      <c r="BMS55" s="166"/>
      <c r="BMT55" s="166"/>
      <c r="BMU55" s="166"/>
      <c r="BMV55" s="166"/>
      <c r="BMW55" s="166"/>
      <c r="BMX55" s="166"/>
      <c r="BMY55" s="166"/>
      <c r="BMZ55" s="166"/>
      <c r="BNA55" s="166"/>
      <c r="BNB55" s="166"/>
      <c r="BNC55" s="166"/>
      <c r="BND55" s="166"/>
      <c r="BNE55" s="166"/>
      <c r="BNF55" s="166"/>
      <c r="BNG55" s="166"/>
      <c r="BNH55" s="166"/>
      <c r="BNI55" s="166"/>
      <c r="BNJ55" s="166"/>
      <c r="BNK55" s="166"/>
      <c r="BNL55" s="166"/>
      <c r="BNM55" s="166"/>
      <c r="BNN55" s="166"/>
      <c r="BNO55" s="166"/>
      <c r="BNP55" s="166"/>
      <c r="BNQ55" s="166"/>
      <c r="BNR55" s="166"/>
      <c r="BNS55" s="166"/>
      <c r="BNT55" s="166"/>
      <c r="BNU55" s="166"/>
      <c r="BNV55" s="166"/>
      <c r="BNW55" s="166"/>
      <c r="BNX55" s="166"/>
      <c r="BNY55" s="166"/>
      <c r="BNZ55" s="166"/>
      <c r="BOA55" s="166"/>
      <c r="BOB55" s="166"/>
      <c r="BOC55" s="166"/>
      <c r="BOD55" s="166"/>
      <c r="BOE55" s="166"/>
      <c r="BOF55" s="166"/>
      <c r="BOG55" s="166"/>
      <c r="BOH55" s="166"/>
      <c r="BOI55" s="166"/>
      <c r="BOJ55" s="166"/>
      <c r="BOK55" s="166"/>
      <c r="BOL55" s="166"/>
      <c r="BOM55" s="166"/>
      <c r="BON55" s="166"/>
      <c r="BOO55" s="166"/>
      <c r="BOP55" s="166"/>
      <c r="BOQ55" s="166"/>
      <c r="BOR55" s="166"/>
      <c r="BOS55" s="166"/>
      <c r="BOT55" s="166"/>
      <c r="BOU55" s="166"/>
      <c r="BOV55" s="166"/>
      <c r="BOW55" s="166"/>
      <c r="BOX55" s="166"/>
      <c r="BOY55" s="166"/>
      <c r="BOZ55" s="166"/>
      <c r="BPA55" s="166"/>
      <c r="BPB55" s="166"/>
      <c r="BPC55" s="166"/>
      <c r="BPD55" s="166"/>
      <c r="BPE55" s="166"/>
      <c r="BPF55" s="166"/>
      <c r="BPG55" s="166"/>
      <c r="BPH55" s="166"/>
      <c r="BPI55" s="166"/>
      <c r="BPJ55" s="166"/>
      <c r="BPK55" s="166"/>
      <c r="BPL55" s="166"/>
      <c r="BPM55" s="166"/>
      <c r="BPN55" s="166"/>
      <c r="BPO55" s="166"/>
      <c r="BPP55" s="166"/>
      <c r="BPQ55" s="166"/>
      <c r="BPR55" s="166"/>
      <c r="BPS55" s="166"/>
      <c r="BPT55" s="166"/>
      <c r="BPU55" s="166"/>
      <c r="BPV55" s="166"/>
      <c r="BPW55" s="166"/>
      <c r="BPX55" s="166"/>
      <c r="BPY55" s="166"/>
      <c r="BPZ55" s="166"/>
      <c r="BQA55" s="166"/>
      <c r="BQB55" s="166"/>
      <c r="BQC55" s="166"/>
      <c r="BQD55" s="166"/>
      <c r="BQE55" s="166"/>
      <c r="BQF55" s="166"/>
      <c r="BQG55" s="166"/>
      <c r="BQH55" s="166"/>
      <c r="BQI55" s="166"/>
      <c r="BQJ55" s="166"/>
      <c r="BQK55" s="166"/>
      <c r="BQL55" s="166"/>
      <c r="BQM55" s="166"/>
      <c r="BQN55" s="166"/>
      <c r="BQO55" s="166"/>
      <c r="BQP55" s="166"/>
      <c r="BQQ55" s="166"/>
      <c r="BQR55" s="166"/>
      <c r="BQS55" s="166"/>
      <c r="BQT55" s="166"/>
      <c r="BQU55" s="166"/>
      <c r="BQV55" s="166"/>
      <c r="BQW55" s="166"/>
      <c r="BQX55" s="166"/>
      <c r="BQY55" s="166"/>
      <c r="BQZ55" s="166"/>
      <c r="BRA55" s="166"/>
      <c r="BRB55" s="166"/>
      <c r="BRC55" s="166"/>
      <c r="BRD55" s="166"/>
      <c r="BRE55" s="166"/>
      <c r="BRF55" s="166"/>
      <c r="BRG55" s="166"/>
      <c r="BRH55" s="166"/>
      <c r="BRI55" s="166"/>
      <c r="BRJ55" s="166"/>
      <c r="BRK55" s="166"/>
      <c r="BRL55" s="166"/>
      <c r="BRM55" s="166"/>
      <c r="BRN55" s="166"/>
      <c r="BRO55" s="166"/>
      <c r="BRP55" s="166"/>
      <c r="BRQ55" s="166"/>
      <c r="BRR55" s="166"/>
      <c r="BRS55" s="166"/>
      <c r="BRT55" s="166"/>
      <c r="BRU55" s="166"/>
      <c r="BRV55" s="166"/>
      <c r="BRW55" s="166"/>
      <c r="BRX55" s="166"/>
      <c r="BRY55" s="166"/>
      <c r="BRZ55" s="166"/>
      <c r="BSA55" s="166"/>
      <c r="BSB55" s="166"/>
      <c r="BSC55" s="166"/>
      <c r="BSD55" s="166"/>
      <c r="BSE55" s="166"/>
      <c r="BSF55" s="166"/>
      <c r="BSG55" s="166"/>
      <c r="BSH55" s="166"/>
      <c r="BSI55" s="166"/>
      <c r="BSJ55" s="166"/>
      <c r="BSK55" s="166"/>
      <c r="BSL55" s="166"/>
      <c r="BSM55" s="166"/>
      <c r="BSN55" s="166"/>
      <c r="BSO55" s="166"/>
      <c r="BSP55" s="166"/>
      <c r="BSQ55" s="166"/>
      <c r="BSR55" s="166"/>
      <c r="BSS55" s="166"/>
    </row>
    <row r="56" spans="1:1865" ht="20.100000000000001" customHeight="1" x14ac:dyDescent="0.25">
      <c r="A56" s="100" t="s">
        <v>21</v>
      </c>
      <c r="B56" s="63"/>
      <c r="C56" s="208"/>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165"/>
      <c r="BHG56" s="166"/>
      <c r="BHH56" s="166"/>
      <c r="BHI56" s="166"/>
      <c r="BHJ56" s="166"/>
      <c r="BHK56" s="166"/>
      <c r="BHL56" s="166"/>
      <c r="BHM56" s="166"/>
      <c r="BHN56" s="166"/>
      <c r="BHO56" s="166"/>
      <c r="BHP56" s="166"/>
      <c r="BHQ56" s="166"/>
      <c r="BHR56" s="166"/>
      <c r="BHS56" s="166"/>
      <c r="BHT56" s="166"/>
      <c r="BHU56" s="166"/>
      <c r="BHV56" s="166"/>
      <c r="BHW56" s="166"/>
      <c r="BHX56" s="166"/>
      <c r="BHY56" s="166"/>
      <c r="BHZ56" s="166"/>
      <c r="BIA56" s="166"/>
      <c r="BIB56" s="166"/>
      <c r="BIC56" s="166"/>
      <c r="BID56" s="166"/>
      <c r="BIE56" s="166"/>
      <c r="BIF56" s="166"/>
      <c r="BIG56" s="166"/>
      <c r="BIH56" s="166"/>
      <c r="BII56" s="166"/>
      <c r="BIJ56" s="166"/>
      <c r="BIK56" s="166"/>
      <c r="BIL56" s="166"/>
      <c r="BIM56" s="166"/>
      <c r="BIN56" s="166"/>
      <c r="BIO56" s="166"/>
      <c r="BIP56" s="166"/>
      <c r="BIQ56" s="166"/>
      <c r="BIR56" s="166"/>
      <c r="BIS56" s="166"/>
      <c r="BIT56" s="166"/>
      <c r="BIU56" s="166"/>
      <c r="BIV56" s="166"/>
      <c r="BIW56" s="166"/>
      <c r="BIX56" s="166"/>
      <c r="BIY56" s="166"/>
      <c r="BIZ56" s="166"/>
      <c r="BJA56" s="166"/>
      <c r="BJB56" s="166"/>
      <c r="BJC56" s="166"/>
      <c r="BJD56" s="166"/>
      <c r="BJE56" s="166"/>
      <c r="BJF56" s="166"/>
      <c r="BJG56" s="166"/>
      <c r="BJH56" s="166"/>
      <c r="BJI56" s="166"/>
      <c r="BJJ56" s="166"/>
      <c r="BJK56" s="166"/>
      <c r="BJL56" s="166"/>
      <c r="BJM56" s="166"/>
      <c r="BJN56" s="166"/>
      <c r="BJO56" s="166"/>
      <c r="BJP56" s="166"/>
      <c r="BJQ56" s="166"/>
      <c r="BJR56" s="166"/>
      <c r="BJS56" s="166"/>
      <c r="BJT56" s="166"/>
      <c r="BJU56" s="166"/>
      <c r="BJV56" s="166"/>
      <c r="BJW56" s="166"/>
      <c r="BJX56" s="166"/>
      <c r="BJY56" s="166"/>
      <c r="BJZ56" s="166"/>
      <c r="BKA56" s="166"/>
      <c r="BKB56" s="166"/>
      <c r="BKC56" s="166"/>
      <c r="BKD56" s="166"/>
      <c r="BKE56" s="166"/>
      <c r="BKF56" s="166"/>
      <c r="BKG56" s="166"/>
      <c r="BKH56" s="166"/>
      <c r="BKI56" s="166"/>
      <c r="BKJ56" s="166"/>
      <c r="BKK56" s="166"/>
      <c r="BKL56" s="166"/>
      <c r="BKM56" s="166"/>
      <c r="BKN56" s="166"/>
      <c r="BKO56" s="166"/>
      <c r="BKP56" s="166"/>
      <c r="BKQ56" s="166"/>
      <c r="BKR56" s="166"/>
      <c r="BKS56" s="166"/>
      <c r="BKT56" s="166"/>
      <c r="BKU56" s="166"/>
      <c r="BKV56" s="166"/>
      <c r="BKW56" s="166"/>
      <c r="BKX56" s="166"/>
      <c r="BKY56" s="166"/>
      <c r="BKZ56" s="166"/>
      <c r="BLA56" s="166"/>
      <c r="BLB56" s="166"/>
      <c r="BLC56" s="166"/>
      <c r="BLD56" s="166"/>
      <c r="BLE56" s="166"/>
      <c r="BLF56" s="166"/>
      <c r="BLG56" s="166"/>
      <c r="BLH56" s="166"/>
      <c r="BLI56" s="166"/>
      <c r="BLJ56" s="166"/>
      <c r="BLK56" s="166"/>
      <c r="BLL56" s="166"/>
      <c r="BLM56" s="166"/>
      <c r="BLN56" s="166"/>
      <c r="BLO56" s="166"/>
      <c r="BLP56" s="166"/>
      <c r="BLQ56" s="166"/>
      <c r="BLR56" s="166"/>
      <c r="BLS56" s="166"/>
      <c r="BLT56" s="166"/>
      <c r="BLU56" s="166"/>
      <c r="BLV56" s="166"/>
      <c r="BLW56" s="166"/>
      <c r="BLX56" s="166"/>
      <c r="BLY56" s="166"/>
      <c r="BLZ56" s="166"/>
      <c r="BMA56" s="166"/>
      <c r="BMB56" s="166"/>
      <c r="BMC56" s="166"/>
      <c r="BMD56" s="166"/>
      <c r="BME56" s="166"/>
      <c r="BMF56" s="166"/>
      <c r="BMG56" s="166"/>
      <c r="BMH56" s="166"/>
      <c r="BMI56" s="166"/>
      <c r="BMJ56" s="166"/>
      <c r="BMK56" s="166"/>
      <c r="BML56" s="166"/>
      <c r="BMM56" s="166"/>
      <c r="BMN56" s="166"/>
      <c r="BMO56" s="166"/>
      <c r="BMP56" s="166"/>
      <c r="BMQ56" s="166"/>
      <c r="BMR56" s="166"/>
      <c r="BMS56" s="166"/>
      <c r="BMT56" s="166"/>
      <c r="BMU56" s="166"/>
      <c r="BMV56" s="166"/>
      <c r="BMW56" s="166"/>
      <c r="BMX56" s="166"/>
      <c r="BMY56" s="166"/>
      <c r="BMZ56" s="166"/>
      <c r="BNA56" s="166"/>
      <c r="BNB56" s="166"/>
      <c r="BNC56" s="166"/>
      <c r="BND56" s="166"/>
      <c r="BNE56" s="166"/>
      <c r="BNF56" s="166"/>
      <c r="BNG56" s="166"/>
      <c r="BNH56" s="166"/>
      <c r="BNI56" s="166"/>
      <c r="BNJ56" s="166"/>
      <c r="BNK56" s="166"/>
      <c r="BNL56" s="166"/>
      <c r="BNM56" s="166"/>
      <c r="BNN56" s="166"/>
      <c r="BNO56" s="166"/>
      <c r="BNP56" s="166"/>
      <c r="BNQ56" s="166"/>
      <c r="BNR56" s="166"/>
      <c r="BNS56" s="166"/>
      <c r="BNT56" s="166"/>
      <c r="BNU56" s="166"/>
      <c r="BNV56" s="166"/>
      <c r="BNW56" s="166"/>
      <c r="BNX56" s="166"/>
      <c r="BNY56" s="166"/>
      <c r="BNZ56" s="166"/>
      <c r="BOA56" s="166"/>
      <c r="BOB56" s="166"/>
      <c r="BOC56" s="166"/>
      <c r="BOD56" s="166"/>
      <c r="BOE56" s="166"/>
      <c r="BOF56" s="166"/>
      <c r="BOG56" s="166"/>
      <c r="BOH56" s="166"/>
      <c r="BOI56" s="166"/>
      <c r="BOJ56" s="166"/>
      <c r="BOK56" s="166"/>
      <c r="BOL56" s="166"/>
      <c r="BOM56" s="166"/>
      <c r="BON56" s="166"/>
      <c r="BOO56" s="166"/>
      <c r="BOP56" s="166"/>
      <c r="BOQ56" s="166"/>
      <c r="BOR56" s="166"/>
      <c r="BOS56" s="166"/>
      <c r="BOT56" s="166"/>
      <c r="BOU56" s="166"/>
      <c r="BOV56" s="166"/>
      <c r="BOW56" s="166"/>
      <c r="BOX56" s="166"/>
      <c r="BOY56" s="166"/>
      <c r="BOZ56" s="166"/>
      <c r="BPA56" s="166"/>
      <c r="BPB56" s="166"/>
      <c r="BPC56" s="166"/>
      <c r="BPD56" s="166"/>
      <c r="BPE56" s="166"/>
      <c r="BPF56" s="166"/>
      <c r="BPG56" s="166"/>
      <c r="BPH56" s="166"/>
      <c r="BPI56" s="166"/>
      <c r="BPJ56" s="166"/>
      <c r="BPK56" s="166"/>
      <c r="BPL56" s="166"/>
      <c r="BPM56" s="166"/>
      <c r="BPN56" s="166"/>
      <c r="BPO56" s="166"/>
      <c r="BPP56" s="166"/>
      <c r="BPQ56" s="166"/>
      <c r="BPR56" s="166"/>
      <c r="BPS56" s="166"/>
      <c r="BPT56" s="166"/>
      <c r="BPU56" s="166"/>
      <c r="BPV56" s="166"/>
      <c r="BPW56" s="166"/>
      <c r="BPX56" s="166"/>
      <c r="BPY56" s="166"/>
      <c r="BPZ56" s="166"/>
      <c r="BQA56" s="166"/>
      <c r="BQB56" s="166"/>
      <c r="BQC56" s="166"/>
      <c r="BQD56" s="166"/>
      <c r="BQE56" s="166"/>
      <c r="BQF56" s="166"/>
      <c r="BQG56" s="166"/>
      <c r="BQH56" s="166"/>
      <c r="BQI56" s="166"/>
      <c r="BQJ56" s="166"/>
      <c r="BQK56" s="166"/>
      <c r="BQL56" s="166"/>
      <c r="BQM56" s="166"/>
      <c r="BQN56" s="166"/>
      <c r="BQO56" s="166"/>
      <c r="BQP56" s="166"/>
      <c r="BQQ56" s="166"/>
      <c r="BQR56" s="166"/>
      <c r="BQS56" s="166"/>
      <c r="BQT56" s="166"/>
      <c r="BQU56" s="166"/>
      <c r="BQV56" s="166"/>
      <c r="BQW56" s="166"/>
      <c r="BQX56" s="166"/>
      <c r="BQY56" s="166"/>
      <c r="BQZ56" s="166"/>
      <c r="BRA56" s="166"/>
      <c r="BRB56" s="166"/>
      <c r="BRC56" s="166"/>
      <c r="BRD56" s="166"/>
      <c r="BRE56" s="166"/>
      <c r="BRF56" s="166"/>
      <c r="BRG56" s="166"/>
      <c r="BRH56" s="166"/>
      <c r="BRI56" s="166"/>
      <c r="BRJ56" s="166"/>
      <c r="BRK56" s="166"/>
      <c r="BRL56" s="166"/>
      <c r="BRM56" s="166"/>
      <c r="BRN56" s="166"/>
      <c r="BRO56" s="166"/>
      <c r="BRP56" s="166"/>
      <c r="BRQ56" s="166"/>
      <c r="BRR56" s="166"/>
      <c r="BRS56" s="166"/>
      <c r="BRT56" s="166"/>
      <c r="BRU56" s="166"/>
      <c r="BRV56" s="166"/>
      <c r="BRW56" s="166"/>
      <c r="BRX56" s="166"/>
      <c r="BRY56" s="166"/>
      <c r="BRZ56" s="166"/>
      <c r="BSA56" s="166"/>
      <c r="BSB56" s="166"/>
      <c r="BSC56" s="166"/>
      <c r="BSD56" s="166"/>
      <c r="BSE56" s="166"/>
      <c r="BSF56" s="166"/>
      <c r="BSG56" s="166"/>
      <c r="BSH56" s="166"/>
      <c r="BSI56" s="166"/>
      <c r="BSJ56" s="166"/>
      <c r="BSK56" s="166"/>
      <c r="BSL56" s="166"/>
      <c r="BSM56" s="166"/>
      <c r="BSN56" s="166"/>
      <c r="BSO56" s="166"/>
      <c r="BSP56" s="166"/>
      <c r="BSQ56" s="166"/>
      <c r="BSR56" s="166"/>
      <c r="BSS56" s="166"/>
    </row>
    <row r="57" spans="1:1865" ht="20.100000000000001" customHeight="1" x14ac:dyDescent="0.25">
      <c r="A57" s="100" t="s">
        <v>20</v>
      </c>
      <c r="B57" s="63"/>
      <c r="C57" s="207"/>
      <c r="D57" s="146"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165"/>
      <c r="BHG57" s="166"/>
      <c r="BHH57" s="166"/>
      <c r="BHI57" s="166"/>
      <c r="BHJ57" s="166"/>
      <c r="BHK57" s="166"/>
      <c r="BHL57" s="166"/>
      <c r="BHM57" s="166"/>
      <c r="BHN57" s="166"/>
      <c r="BHO57" s="166"/>
      <c r="BHP57" s="166"/>
      <c r="BHQ57" s="166"/>
      <c r="BHR57" s="166"/>
      <c r="BHS57" s="166"/>
      <c r="BHT57" s="166"/>
      <c r="BHU57" s="166"/>
      <c r="BHV57" s="166"/>
      <c r="BHW57" s="166"/>
      <c r="BHX57" s="166"/>
      <c r="BHY57" s="166"/>
      <c r="BHZ57" s="166"/>
      <c r="BIA57" s="166"/>
      <c r="BIB57" s="166"/>
      <c r="BIC57" s="166"/>
      <c r="BID57" s="166"/>
      <c r="BIE57" s="166"/>
      <c r="BIF57" s="166"/>
      <c r="BIG57" s="166"/>
      <c r="BIH57" s="166"/>
      <c r="BII57" s="166"/>
      <c r="BIJ57" s="166"/>
      <c r="BIK57" s="166"/>
      <c r="BIL57" s="166"/>
      <c r="BIM57" s="166"/>
      <c r="BIN57" s="166"/>
      <c r="BIO57" s="166"/>
      <c r="BIP57" s="166"/>
      <c r="BIQ57" s="166"/>
      <c r="BIR57" s="166"/>
      <c r="BIS57" s="166"/>
      <c r="BIT57" s="166"/>
      <c r="BIU57" s="166"/>
      <c r="BIV57" s="166"/>
      <c r="BIW57" s="166"/>
      <c r="BIX57" s="166"/>
      <c r="BIY57" s="166"/>
      <c r="BIZ57" s="166"/>
      <c r="BJA57" s="166"/>
      <c r="BJB57" s="166"/>
      <c r="BJC57" s="166"/>
      <c r="BJD57" s="166"/>
      <c r="BJE57" s="166"/>
      <c r="BJF57" s="166"/>
      <c r="BJG57" s="166"/>
      <c r="BJH57" s="166"/>
      <c r="BJI57" s="166"/>
      <c r="BJJ57" s="166"/>
      <c r="BJK57" s="166"/>
      <c r="BJL57" s="166"/>
      <c r="BJM57" s="166"/>
      <c r="BJN57" s="166"/>
      <c r="BJO57" s="166"/>
      <c r="BJP57" s="166"/>
      <c r="BJQ57" s="166"/>
      <c r="BJR57" s="166"/>
      <c r="BJS57" s="166"/>
      <c r="BJT57" s="166"/>
      <c r="BJU57" s="166"/>
      <c r="BJV57" s="166"/>
      <c r="BJW57" s="166"/>
      <c r="BJX57" s="166"/>
      <c r="BJY57" s="166"/>
      <c r="BJZ57" s="166"/>
      <c r="BKA57" s="166"/>
      <c r="BKB57" s="166"/>
      <c r="BKC57" s="166"/>
      <c r="BKD57" s="166"/>
      <c r="BKE57" s="166"/>
      <c r="BKF57" s="166"/>
      <c r="BKG57" s="166"/>
      <c r="BKH57" s="166"/>
      <c r="BKI57" s="166"/>
      <c r="BKJ57" s="166"/>
      <c r="BKK57" s="166"/>
      <c r="BKL57" s="166"/>
      <c r="BKM57" s="166"/>
      <c r="BKN57" s="166"/>
      <c r="BKO57" s="166"/>
      <c r="BKP57" s="166"/>
      <c r="BKQ57" s="166"/>
      <c r="BKR57" s="166"/>
      <c r="BKS57" s="166"/>
      <c r="BKT57" s="166"/>
      <c r="BKU57" s="166"/>
      <c r="BKV57" s="166"/>
      <c r="BKW57" s="166"/>
      <c r="BKX57" s="166"/>
      <c r="BKY57" s="166"/>
      <c r="BKZ57" s="166"/>
      <c r="BLA57" s="166"/>
      <c r="BLB57" s="166"/>
      <c r="BLC57" s="166"/>
      <c r="BLD57" s="166"/>
      <c r="BLE57" s="166"/>
      <c r="BLF57" s="166"/>
      <c r="BLG57" s="166"/>
      <c r="BLH57" s="166"/>
      <c r="BLI57" s="166"/>
      <c r="BLJ57" s="166"/>
      <c r="BLK57" s="166"/>
      <c r="BLL57" s="166"/>
      <c r="BLM57" s="166"/>
      <c r="BLN57" s="166"/>
      <c r="BLO57" s="166"/>
      <c r="BLP57" s="166"/>
      <c r="BLQ57" s="166"/>
      <c r="BLR57" s="166"/>
      <c r="BLS57" s="166"/>
      <c r="BLT57" s="166"/>
      <c r="BLU57" s="166"/>
      <c r="BLV57" s="166"/>
      <c r="BLW57" s="166"/>
      <c r="BLX57" s="166"/>
      <c r="BLY57" s="166"/>
      <c r="BLZ57" s="166"/>
      <c r="BMA57" s="166"/>
      <c r="BMB57" s="166"/>
      <c r="BMC57" s="166"/>
      <c r="BMD57" s="166"/>
      <c r="BME57" s="166"/>
      <c r="BMF57" s="166"/>
      <c r="BMG57" s="166"/>
      <c r="BMH57" s="166"/>
      <c r="BMI57" s="166"/>
      <c r="BMJ57" s="166"/>
      <c r="BMK57" s="166"/>
      <c r="BML57" s="166"/>
      <c r="BMM57" s="166"/>
      <c r="BMN57" s="166"/>
      <c r="BMO57" s="166"/>
      <c r="BMP57" s="166"/>
      <c r="BMQ57" s="166"/>
      <c r="BMR57" s="166"/>
      <c r="BMS57" s="166"/>
      <c r="BMT57" s="166"/>
      <c r="BMU57" s="166"/>
      <c r="BMV57" s="166"/>
      <c r="BMW57" s="166"/>
      <c r="BMX57" s="166"/>
      <c r="BMY57" s="166"/>
      <c r="BMZ57" s="166"/>
      <c r="BNA57" s="166"/>
      <c r="BNB57" s="166"/>
      <c r="BNC57" s="166"/>
      <c r="BND57" s="166"/>
      <c r="BNE57" s="166"/>
      <c r="BNF57" s="166"/>
      <c r="BNG57" s="166"/>
      <c r="BNH57" s="166"/>
      <c r="BNI57" s="166"/>
      <c r="BNJ57" s="166"/>
      <c r="BNK57" s="166"/>
      <c r="BNL57" s="166"/>
      <c r="BNM57" s="166"/>
      <c r="BNN57" s="166"/>
      <c r="BNO57" s="166"/>
      <c r="BNP57" s="166"/>
      <c r="BNQ57" s="166"/>
      <c r="BNR57" s="166"/>
      <c r="BNS57" s="166"/>
      <c r="BNT57" s="166"/>
      <c r="BNU57" s="166"/>
      <c r="BNV57" s="166"/>
      <c r="BNW57" s="166"/>
      <c r="BNX57" s="166"/>
      <c r="BNY57" s="166"/>
      <c r="BNZ57" s="166"/>
      <c r="BOA57" s="166"/>
      <c r="BOB57" s="166"/>
      <c r="BOC57" s="166"/>
      <c r="BOD57" s="166"/>
      <c r="BOE57" s="166"/>
      <c r="BOF57" s="166"/>
      <c r="BOG57" s="166"/>
      <c r="BOH57" s="166"/>
      <c r="BOI57" s="166"/>
      <c r="BOJ57" s="166"/>
      <c r="BOK57" s="166"/>
      <c r="BOL57" s="166"/>
      <c r="BOM57" s="166"/>
      <c r="BON57" s="166"/>
      <c r="BOO57" s="166"/>
      <c r="BOP57" s="166"/>
      <c r="BOQ57" s="166"/>
      <c r="BOR57" s="166"/>
      <c r="BOS57" s="166"/>
      <c r="BOT57" s="166"/>
      <c r="BOU57" s="166"/>
      <c r="BOV57" s="166"/>
      <c r="BOW57" s="166"/>
      <c r="BOX57" s="166"/>
      <c r="BOY57" s="166"/>
      <c r="BOZ57" s="166"/>
      <c r="BPA57" s="166"/>
      <c r="BPB57" s="166"/>
      <c r="BPC57" s="166"/>
      <c r="BPD57" s="166"/>
      <c r="BPE57" s="166"/>
      <c r="BPF57" s="166"/>
      <c r="BPG57" s="166"/>
      <c r="BPH57" s="166"/>
      <c r="BPI57" s="166"/>
      <c r="BPJ57" s="166"/>
      <c r="BPK57" s="166"/>
      <c r="BPL57" s="166"/>
      <c r="BPM57" s="166"/>
      <c r="BPN57" s="166"/>
      <c r="BPO57" s="166"/>
      <c r="BPP57" s="166"/>
      <c r="BPQ57" s="166"/>
      <c r="BPR57" s="166"/>
      <c r="BPS57" s="166"/>
      <c r="BPT57" s="166"/>
      <c r="BPU57" s="166"/>
      <c r="BPV57" s="166"/>
      <c r="BPW57" s="166"/>
      <c r="BPX57" s="166"/>
      <c r="BPY57" s="166"/>
      <c r="BPZ57" s="166"/>
      <c r="BQA57" s="166"/>
      <c r="BQB57" s="166"/>
      <c r="BQC57" s="166"/>
      <c r="BQD57" s="166"/>
      <c r="BQE57" s="166"/>
      <c r="BQF57" s="166"/>
      <c r="BQG57" s="166"/>
      <c r="BQH57" s="166"/>
      <c r="BQI57" s="166"/>
      <c r="BQJ57" s="166"/>
      <c r="BQK57" s="166"/>
      <c r="BQL57" s="166"/>
      <c r="BQM57" s="166"/>
      <c r="BQN57" s="166"/>
      <c r="BQO57" s="166"/>
      <c r="BQP57" s="166"/>
      <c r="BQQ57" s="166"/>
      <c r="BQR57" s="166"/>
      <c r="BQS57" s="166"/>
      <c r="BQT57" s="166"/>
      <c r="BQU57" s="166"/>
      <c r="BQV57" s="166"/>
      <c r="BQW57" s="166"/>
      <c r="BQX57" s="166"/>
      <c r="BQY57" s="166"/>
      <c r="BQZ57" s="166"/>
      <c r="BRA57" s="166"/>
      <c r="BRB57" s="166"/>
      <c r="BRC57" s="166"/>
      <c r="BRD57" s="166"/>
      <c r="BRE57" s="166"/>
      <c r="BRF57" s="166"/>
      <c r="BRG57" s="166"/>
      <c r="BRH57" s="166"/>
      <c r="BRI57" s="166"/>
      <c r="BRJ57" s="166"/>
      <c r="BRK57" s="166"/>
      <c r="BRL57" s="166"/>
      <c r="BRM57" s="166"/>
      <c r="BRN57" s="166"/>
      <c r="BRO57" s="166"/>
      <c r="BRP57" s="166"/>
      <c r="BRQ57" s="166"/>
      <c r="BRR57" s="166"/>
      <c r="BRS57" s="166"/>
      <c r="BRT57" s="166"/>
      <c r="BRU57" s="166"/>
      <c r="BRV57" s="166"/>
      <c r="BRW57" s="166"/>
      <c r="BRX57" s="166"/>
      <c r="BRY57" s="166"/>
      <c r="BRZ57" s="166"/>
      <c r="BSA57" s="166"/>
      <c r="BSB57" s="166"/>
      <c r="BSC57" s="166"/>
      <c r="BSD57" s="166"/>
      <c r="BSE57" s="166"/>
      <c r="BSF57" s="166"/>
      <c r="BSG57" s="166"/>
      <c r="BSH57" s="166"/>
      <c r="BSI57" s="166"/>
      <c r="BSJ57" s="166"/>
      <c r="BSK57" s="166"/>
      <c r="BSL57" s="166"/>
      <c r="BSM57" s="166"/>
      <c r="BSN57" s="166"/>
      <c r="BSO57" s="166"/>
      <c r="BSP57" s="166"/>
      <c r="BSQ57" s="166"/>
      <c r="BSR57" s="166"/>
      <c r="BSS57" s="166"/>
    </row>
    <row r="58" spans="1:1865" ht="20.100000000000001" customHeight="1" x14ac:dyDescent="0.3">
      <c r="A58" s="100" t="s">
        <v>21</v>
      </c>
      <c r="B58" s="63"/>
      <c r="C58" s="218"/>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165"/>
      <c r="BHG58" s="166"/>
      <c r="BHH58" s="166"/>
      <c r="BHI58" s="166"/>
      <c r="BHJ58" s="166"/>
      <c r="BHK58" s="166"/>
      <c r="BHL58" s="166"/>
      <c r="BHM58" s="166"/>
      <c r="BHN58" s="166"/>
      <c r="BHO58" s="166"/>
      <c r="BHP58" s="166"/>
      <c r="BHQ58" s="166"/>
      <c r="BHR58" s="166"/>
      <c r="BHS58" s="166"/>
      <c r="BHT58" s="166"/>
      <c r="BHU58" s="166"/>
      <c r="BHV58" s="166"/>
      <c r="BHW58" s="166"/>
      <c r="BHX58" s="166"/>
      <c r="BHY58" s="166"/>
      <c r="BHZ58" s="166"/>
      <c r="BIA58" s="166"/>
      <c r="BIB58" s="166"/>
      <c r="BIC58" s="166"/>
      <c r="BID58" s="166"/>
      <c r="BIE58" s="166"/>
      <c r="BIF58" s="166"/>
      <c r="BIG58" s="166"/>
      <c r="BIH58" s="166"/>
      <c r="BII58" s="166"/>
      <c r="BIJ58" s="166"/>
      <c r="BIK58" s="166"/>
      <c r="BIL58" s="166"/>
      <c r="BIM58" s="166"/>
      <c r="BIN58" s="166"/>
      <c r="BIO58" s="166"/>
      <c r="BIP58" s="166"/>
      <c r="BIQ58" s="166"/>
      <c r="BIR58" s="166"/>
      <c r="BIS58" s="166"/>
      <c r="BIT58" s="166"/>
      <c r="BIU58" s="166"/>
      <c r="BIV58" s="166"/>
      <c r="BIW58" s="166"/>
      <c r="BIX58" s="166"/>
      <c r="BIY58" s="166"/>
      <c r="BIZ58" s="166"/>
      <c r="BJA58" s="166"/>
      <c r="BJB58" s="166"/>
      <c r="BJC58" s="166"/>
      <c r="BJD58" s="166"/>
      <c r="BJE58" s="166"/>
      <c r="BJF58" s="166"/>
      <c r="BJG58" s="166"/>
      <c r="BJH58" s="166"/>
      <c r="BJI58" s="166"/>
      <c r="BJJ58" s="166"/>
      <c r="BJK58" s="166"/>
      <c r="BJL58" s="166"/>
      <c r="BJM58" s="166"/>
      <c r="BJN58" s="166"/>
      <c r="BJO58" s="166"/>
      <c r="BJP58" s="166"/>
      <c r="BJQ58" s="166"/>
      <c r="BJR58" s="166"/>
      <c r="BJS58" s="166"/>
      <c r="BJT58" s="166"/>
      <c r="BJU58" s="166"/>
      <c r="BJV58" s="166"/>
      <c r="BJW58" s="166"/>
      <c r="BJX58" s="166"/>
      <c r="BJY58" s="166"/>
      <c r="BJZ58" s="166"/>
      <c r="BKA58" s="166"/>
      <c r="BKB58" s="166"/>
      <c r="BKC58" s="166"/>
      <c r="BKD58" s="166"/>
      <c r="BKE58" s="166"/>
      <c r="BKF58" s="166"/>
      <c r="BKG58" s="166"/>
      <c r="BKH58" s="166"/>
      <c r="BKI58" s="166"/>
      <c r="BKJ58" s="166"/>
      <c r="BKK58" s="166"/>
      <c r="BKL58" s="166"/>
      <c r="BKM58" s="166"/>
      <c r="BKN58" s="166"/>
      <c r="BKO58" s="166"/>
      <c r="BKP58" s="166"/>
      <c r="BKQ58" s="166"/>
      <c r="BKR58" s="166"/>
      <c r="BKS58" s="166"/>
      <c r="BKT58" s="166"/>
      <c r="BKU58" s="166"/>
      <c r="BKV58" s="166"/>
      <c r="BKW58" s="166"/>
      <c r="BKX58" s="166"/>
      <c r="BKY58" s="166"/>
      <c r="BKZ58" s="166"/>
      <c r="BLA58" s="166"/>
      <c r="BLB58" s="166"/>
      <c r="BLC58" s="166"/>
      <c r="BLD58" s="166"/>
      <c r="BLE58" s="166"/>
      <c r="BLF58" s="166"/>
      <c r="BLG58" s="166"/>
      <c r="BLH58" s="166"/>
      <c r="BLI58" s="166"/>
      <c r="BLJ58" s="166"/>
      <c r="BLK58" s="166"/>
      <c r="BLL58" s="166"/>
      <c r="BLM58" s="166"/>
      <c r="BLN58" s="166"/>
      <c r="BLO58" s="166"/>
      <c r="BLP58" s="166"/>
      <c r="BLQ58" s="166"/>
      <c r="BLR58" s="166"/>
      <c r="BLS58" s="166"/>
      <c r="BLT58" s="166"/>
      <c r="BLU58" s="166"/>
      <c r="BLV58" s="166"/>
      <c r="BLW58" s="166"/>
      <c r="BLX58" s="166"/>
      <c r="BLY58" s="166"/>
      <c r="BLZ58" s="166"/>
      <c r="BMA58" s="166"/>
      <c r="BMB58" s="166"/>
      <c r="BMC58" s="166"/>
      <c r="BMD58" s="166"/>
      <c r="BME58" s="166"/>
      <c r="BMF58" s="166"/>
      <c r="BMG58" s="166"/>
      <c r="BMH58" s="166"/>
      <c r="BMI58" s="166"/>
      <c r="BMJ58" s="166"/>
      <c r="BMK58" s="166"/>
      <c r="BML58" s="166"/>
      <c r="BMM58" s="166"/>
      <c r="BMN58" s="166"/>
      <c r="BMO58" s="166"/>
      <c r="BMP58" s="166"/>
      <c r="BMQ58" s="166"/>
      <c r="BMR58" s="166"/>
      <c r="BMS58" s="166"/>
      <c r="BMT58" s="166"/>
      <c r="BMU58" s="166"/>
      <c r="BMV58" s="166"/>
      <c r="BMW58" s="166"/>
      <c r="BMX58" s="166"/>
      <c r="BMY58" s="166"/>
      <c r="BMZ58" s="166"/>
      <c r="BNA58" s="166"/>
      <c r="BNB58" s="166"/>
      <c r="BNC58" s="166"/>
      <c r="BND58" s="166"/>
      <c r="BNE58" s="166"/>
      <c r="BNF58" s="166"/>
      <c r="BNG58" s="166"/>
      <c r="BNH58" s="166"/>
      <c r="BNI58" s="166"/>
      <c r="BNJ58" s="166"/>
      <c r="BNK58" s="166"/>
      <c r="BNL58" s="166"/>
      <c r="BNM58" s="166"/>
      <c r="BNN58" s="166"/>
      <c r="BNO58" s="166"/>
      <c r="BNP58" s="166"/>
      <c r="BNQ58" s="166"/>
      <c r="BNR58" s="166"/>
      <c r="BNS58" s="166"/>
      <c r="BNT58" s="166"/>
      <c r="BNU58" s="166"/>
      <c r="BNV58" s="166"/>
      <c r="BNW58" s="166"/>
      <c r="BNX58" s="166"/>
      <c r="BNY58" s="166"/>
      <c r="BNZ58" s="166"/>
      <c r="BOA58" s="166"/>
      <c r="BOB58" s="166"/>
      <c r="BOC58" s="166"/>
      <c r="BOD58" s="166"/>
      <c r="BOE58" s="166"/>
      <c r="BOF58" s="166"/>
      <c r="BOG58" s="166"/>
      <c r="BOH58" s="166"/>
      <c r="BOI58" s="166"/>
      <c r="BOJ58" s="166"/>
      <c r="BOK58" s="166"/>
      <c r="BOL58" s="166"/>
      <c r="BOM58" s="166"/>
      <c r="BON58" s="166"/>
      <c r="BOO58" s="166"/>
      <c r="BOP58" s="166"/>
      <c r="BOQ58" s="166"/>
      <c r="BOR58" s="166"/>
      <c r="BOS58" s="166"/>
      <c r="BOT58" s="166"/>
      <c r="BOU58" s="166"/>
      <c r="BOV58" s="166"/>
      <c r="BOW58" s="166"/>
      <c r="BOX58" s="166"/>
      <c r="BOY58" s="166"/>
      <c r="BOZ58" s="166"/>
      <c r="BPA58" s="166"/>
      <c r="BPB58" s="166"/>
      <c r="BPC58" s="166"/>
      <c r="BPD58" s="166"/>
      <c r="BPE58" s="166"/>
      <c r="BPF58" s="166"/>
      <c r="BPG58" s="166"/>
      <c r="BPH58" s="166"/>
      <c r="BPI58" s="166"/>
      <c r="BPJ58" s="166"/>
      <c r="BPK58" s="166"/>
      <c r="BPL58" s="166"/>
      <c r="BPM58" s="166"/>
      <c r="BPN58" s="166"/>
      <c r="BPO58" s="166"/>
      <c r="BPP58" s="166"/>
      <c r="BPQ58" s="166"/>
      <c r="BPR58" s="166"/>
      <c r="BPS58" s="166"/>
      <c r="BPT58" s="166"/>
      <c r="BPU58" s="166"/>
      <c r="BPV58" s="166"/>
      <c r="BPW58" s="166"/>
      <c r="BPX58" s="166"/>
      <c r="BPY58" s="166"/>
      <c r="BPZ58" s="166"/>
      <c r="BQA58" s="166"/>
      <c r="BQB58" s="166"/>
      <c r="BQC58" s="166"/>
      <c r="BQD58" s="166"/>
      <c r="BQE58" s="166"/>
      <c r="BQF58" s="166"/>
      <c r="BQG58" s="166"/>
      <c r="BQH58" s="166"/>
      <c r="BQI58" s="166"/>
      <c r="BQJ58" s="166"/>
      <c r="BQK58" s="166"/>
      <c r="BQL58" s="166"/>
      <c r="BQM58" s="166"/>
      <c r="BQN58" s="166"/>
      <c r="BQO58" s="166"/>
      <c r="BQP58" s="166"/>
      <c r="BQQ58" s="166"/>
      <c r="BQR58" s="166"/>
      <c r="BQS58" s="166"/>
      <c r="BQT58" s="166"/>
      <c r="BQU58" s="166"/>
      <c r="BQV58" s="166"/>
      <c r="BQW58" s="166"/>
      <c r="BQX58" s="166"/>
      <c r="BQY58" s="166"/>
      <c r="BQZ58" s="166"/>
      <c r="BRA58" s="166"/>
      <c r="BRB58" s="166"/>
      <c r="BRC58" s="166"/>
      <c r="BRD58" s="166"/>
      <c r="BRE58" s="166"/>
      <c r="BRF58" s="166"/>
      <c r="BRG58" s="166"/>
      <c r="BRH58" s="166"/>
      <c r="BRI58" s="166"/>
      <c r="BRJ58" s="166"/>
      <c r="BRK58" s="166"/>
      <c r="BRL58" s="166"/>
      <c r="BRM58" s="166"/>
      <c r="BRN58" s="166"/>
      <c r="BRO58" s="166"/>
      <c r="BRP58" s="166"/>
      <c r="BRQ58" s="166"/>
      <c r="BRR58" s="166"/>
      <c r="BRS58" s="166"/>
      <c r="BRT58" s="166"/>
      <c r="BRU58" s="166"/>
      <c r="BRV58" s="166"/>
      <c r="BRW58" s="166"/>
      <c r="BRX58" s="166"/>
      <c r="BRY58" s="166"/>
      <c r="BRZ58" s="166"/>
      <c r="BSA58" s="166"/>
      <c r="BSB58" s="166"/>
      <c r="BSC58" s="166"/>
      <c r="BSD58" s="166"/>
      <c r="BSE58" s="166"/>
      <c r="BSF58" s="166"/>
      <c r="BSG58" s="166"/>
      <c r="BSH58" s="166"/>
      <c r="BSI58" s="166"/>
      <c r="BSJ58" s="166"/>
      <c r="BSK58" s="166"/>
      <c r="BSL58" s="166"/>
      <c r="BSM58" s="166"/>
      <c r="BSN58" s="166"/>
      <c r="BSO58" s="166"/>
      <c r="BSP58" s="166"/>
      <c r="BSQ58" s="166"/>
      <c r="BSR58" s="166"/>
      <c r="BSS58" s="166"/>
    </row>
    <row r="59" spans="1:1865" ht="20.100000000000001" customHeight="1" x14ac:dyDescent="0.25">
      <c r="A59" s="100" t="s">
        <v>20</v>
      </c>
      <c r="B59" s="63"/>
      <c r="C59" s="207"/>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165"/>
      <c r="BHG59" s="166"/>
      <c r="BHH59" s="166"/>
      <c r="BHI59" s="166"/>
      <c r="BHJ59" s="166"/>
      <c r="BHK59" s="166"/>
      <c r="BHL59" s="166"/>
      <c r="BHM59" s="166"/>
      <c r="BHN59" s="166"/>
      <c r="BHO59" s="166"/>
      <c r="BHP59" s="166"/>
      <c r="BHQ59" s="166"/>
      <c r="BHR59" s="166"/>
      <c r="BHS59" s="166"/>
      <c r="BHT59" s="166"/>
      <c r="BHU59" s="166"/>
      <c r="BHV59" s="166"/>
      <c r="BHW59" s="166"/>
      <c r="BHX59" s="166"/>
      <c r="BHY59" s="166"/>
      <c r="BHZ59" s="166"/>
      <c r="BIA59" s="166"/>
      <c r="BIB59" s="166"/>
      <c r="BIC59" s="166"/>
      <c r="BID59" s="166"/>
      <c r="BIE59" s="166"/>
      <c r="BIF59" s="166"/>
      <c r="BIG59" s="166"/>
      <c r="BIH59" s="166"/>
      <c r="BII59" s="166"/>
      <c r="BIJ59" s="166"/>
      <c r="BIK59" s="166"/>
      <c r="BIL59" s="166"/>
      <c r="BIM59" s="166"/>
      <c r="BIN59" s="166"/>
      <c r="BIO59" s="166"/>
      <c r="BIP59" s="166"/>
      <c r="BIQ59" s="166"/>
      <c r="BIR59" s="166"/>
      <c r="BIS59" s="166"/>
      <c r="BIT59" s="166"/>
      <c r="BIU59" s="166"/>
      <c r="BIV59" s="166"/>
      <c r="BIW59" s="166"/>
      <c r="BIX59" s="166"/>
      <c r="BIY59" s="166"/>
      <c r="BIZ59" s="166"/>
      <c r="BJA59" s="166"/>
      <c r="BJB59" s="166"/>
      <c r="BJC59" s="166"/>
      <c r="BJD59" s="166"/>
      <c r="BJE59" s="166"/>
      <c r="BJF59" s="166"/>
      <c r="BJG59" s="166"/>
      <c r="BJH59" s="166"/>
      <c r="BJI59" s="166"/>
      <c r="BJJ59" s="166"/>
      <c r="BJK59" s="166"/>
      <c r="BJL59" s="166"/>
      <c r="BJM59" s="166"/>
      <c r="BJN59" s="166"/>
      <c r="BJO59" s="166"/>
      <c r="BJP59" s="166"/>
      <c r="BJQ59" s="166"/>
      <c r="BJR59" s="166"/>
      <c r="BJS59" s="166"/>
      <c r="BJT59" s="166"/>
      <c r="BJU59" s="166"/>
      <c r="BJV59" s="166"/>
      <c r="BJW59" s="166"/>
      <c r="BJX59" s="166"/>
      <c r="BJY59" s="166"/>
      <c r="BJZ59" s="166"/>
      <c r="BKA59" s="166"/>
      <c r="BKB59" s="166"/>
      <c r="BKC59" s="166"/>
      <c r="BKD59" s="166"/>
      <c r="BKE59" s="166"/>
      <c r="BKF59" s="166"/>
      <c r="BKG59" s="166"/>
      <c r="BKH59" s="166"/>
      <c r="BKI59" s="166"/>
      <c r="BKJ59" s="166"/>
      <c r="BKK59" s="166"/>
      <c r="BKL59" s="166"/>
      <c r="BKM59" s="166"/>
      <c r="BKN59" s="166"/>
      <c r="BKO59" s="166"/>
      <c r="BKP59" s="166"/>
      <c r="BKQ59" s="166"/>
      <c r="BKR59" s="166"/>
      <c r="BKS59" s="166"/>
      <c r="BKT59" s="166"/>
      <c r="BKU59" s="166"/>
      <c r="BKV59" s="166"/>
      <c r="BKW59" s="166"/>
      <c r="BKX59" s="166"/>
      <c r="BKY59" s="166"/>
      <c r="BKZ59" s="166"/>
      <c r="BLA59" s="166"/>
      <c r="BLB59" s="166"/>
      <c r="BLC59" s="166"/>
      <c r="BLD59" s="166"/>
      <c r="BLE59" s="166"/>
      <c r="BLF59" s="166"/>
      <c r="BLG59" s="166"/>
      <c r="BLH59" s="166"/>
      <c r="BLI59" s="166"/>
      <c r="BLJ59" s="166"/>
      <c r="BLK59" s="166"/>
      <c r="BLL59" s="166"/>
      <c r="BLM59" s="166"/>
      <c r="BLN59" s="166"/>
      <c r="BLO59" s="166"/>
      <c r="BLP59" s="166"/>
      <c r="BLQ59" s="166"/>
      <c r="BLR59" s="166"/>
      <c r="BLS59" s="166"/>
      <c r="BLT59" s="166"/>
      <c r="BLU59" s="166"/>
      <c r="BLV59" s="166"/>
      <c r="BLW59" s="166"/>
      <c r="BLX59" s="166"/>
      <c r="BLY59" s="166"/>
      <c r="BLZ59" s="166"/>
      <c r="BMA59" s="166"/>
      <c r="BMB59" s="166"/>
      <c r="BMC59" s="166"/>
      <c r="BMD59" s="166"/>
      <c r="BME59" s="166"/>
      <c r="BMF59" s="166"/>
      <c r="BMG59" s="166"/>
      <c r="BMH59" s="166"/>
      <c r="BMI59" s="166"/>
      <c r="BMJ59" s="166"/>
      <c r="BMK59" s="166"/>
      <c r="BML59" s="166"/>
      <c r="BMM59" s="166"/>
      <c r="BMN59" s="166"/>
      <c r="BMO59" s="166"/>
      <c r="BMP59" s="166"/>
      <c r="BMQ59" s="166"/>
      <c r="BMR59" s="166"/>
      <c r="BMS59" s="166"/>
      <c r="BMT59" s="166"/>
      <c r="BMU59" s="166"/>
      <c r="BMV59" s="166"/>
      <c r="BMW59" s="166"/>
      <c r="BMX59" s="166"/>
      <c r="BMY59" s="166"/>
      <c r="BMZ59" s="166"/>
      <c r="BNA59" s="166"/>
      <c r="BNB59" s="166"/>
      <c r="BNC59" s="166"/>
      <c r="BND59" s="166"/>
      <c r="BNE59" s="166"/>
      <c r="BNF59" s="166"/>
      <c r="BNG59" s="166"/>
      <c r="BNH59" s="166"/>
      <c r="BNI59" s="166"/>
      <c r="BNJ59" s="166"/>
      <c r="BNK59" s="166"/>
      <c r="BNL59" s="166"/>
      <c r="BNM59" s="166"/>
      <c r="BNN59" s="166"/>
      <c r="BNO59" s="166"/>
      <c r="BNP59" s="166"/>
      <c r="BNQ59" s="166"/>
      <c r="BNR59" s="166"/>
      <c r="BNS59" s="166"/>
      <c r="BNT59" s="166"/>
      <c r="BNU59" s="166"/>
      <c r="BNV59" s="166"/>
      <c r="BNW59" s="166"/>
      <c r="BNX59" s="166"/>
      <c r="BNY59" s="166"/>
      <c r="BNZ59" s="166"/>
      <c r="BOA59" s="166"/>
      <c r="BOB59" s="166"/>
      <c r="BOC59" s="166"/>
      <c r="BOD59" s="166"/>
      <c r="BOE59" s="166"/>
      <c r="BOF59" s="166"/>
      <c r="BOG59" s="166"/>
      <c r="BOH59" s="166"/>
      <c r="BOI59" s="166"/>
      <c r="BOJ59" s="166"/>
      <c r="BOK59" s="166"/>
      <c r="BOL59" s="166"/>
      <c r="BOM59" s="166"/>
      <c r="BON59" s="166"/>
      <c r="BOO59" s="166"/>
      <c r="BOP59" s="166"/>
      <c r="BOQ59" s="166"/>
      <c r="BOR59" s="166"/>
      <c r="BOS59" s="166"/>
      <c r="BOT59" s="166"/>
      <c r="BOU59" s="166"/>
      <c r="BOV59" s="166"/>
      <c r="BOW59" s="166"/>
      <c r="BOX59" s="166"/>
      <c r="BOY59" s="166"/>
      <c r="BOZ59" s="166"/>
      <c r="BPA59" s="166"/>
      <c r="BPB59" s="166"/>
      <c r="BPC59" s="166"/>
      <c r="BPD59" s="166"/>
      <c r="BPE59" s="166"/>
      <c r="BPF59" s="166"/>
      <c r="BPG59" s="166"/>
      <c r="BPH59" s="166"/>
      <c r="BPI59" s="166"/>
      <c r="BPJ59" s="166"/>
      <c r="BPK59" s="166"/>
      <c r="BPL59" s="166"/>
      <c r="BPM59" s="166"/>
      <c r="BPN59" s="166"/>
      <c r="BPO59" s="166"/>
      <c r="BPP59" s="166"/>
      <c r="BPQ59" s="166"/>
      <c r="BPR59" s="166"/>
      <c r="BPS59" s="166"/>
      <c r="BPT59" s="166"/>
      <c r="BPU59" s="166"/>
      <c r="BPV59" s="166"/>
      <c r="BPW59" s="166"/>
      <c r="BPX59" s="166"/>
      <c r="BPY59" s="166"/>
      <c r="BPZ59" s="166"/>
      <c r="BQA59" s="166"/>
      <c r="BQB59" s="166"/>
      <c r="BQC59" s="166"/>
      <c r="BQD59" s="166"/>
      <c r="BQE59" s="166"/>
      <c r="BQF59" s="166"/>
      <c r="BQG59" s="166"/>
      <c r="BQH59" s="166"/>
      <c r="BQI59" s="166"/>
      <c r="BQJ59" s="166"/>
      <c r="BQK59" s="166"/>
      <c r="BQL59" s="166"/>
      <c r="BQM59" s="166"/>
      <c r="BQN59" s="166"/>
      <c r="BQO59" s="166"/>
      <c r="BQP59" s="166"/>
      <c r="BQQ59" s="166"/>
      <c r="BQR59" s="166"/>
      <c r="BQS59" s="166"/>
      <c r="BQT59" s="166"/>
      <c r="BQU59" s="166"/>
      <c r="BQV59" s="166"/>
      <c r="BQW59" s="166"/>
      <c r="BQX59" s="166"/>
      <c r="BQY59" s="166"/>
      <c r="BQZ59" s="166"/>
      <c r="BRA59" s="166"/>
      <c r="BRB59" s="166"/>
      <c r="BRC59" s="166"/>
      <c r="BRD59" s="166"/>
      <c r="BRE59" s="166"/>
      <c r="BRF59" s="166"/>
      <c r="BRG59" s="166"/>
      <c r="BRH59" s="166"/>
      <c r="BRI59" s="166"/>
      <c r="BRJ59" s="166"/>
      <c r="BRK59" s="166"/>
      <c r="BRL59" s="166"/>
      <c r="BRM59" s="166"/>
      <c r="BRN59" s="166"/>
      <c r="BRO59" s="166"/>
      <c r="BRP59" s="166"/>
      <c r="BRQ59" s="166"/>
      <c r="BRR59" s="166"/>
      <c r="BRS59" s="166"/>
      <c r="BRT59" s="166"/>
      <c r="BRU59" s="166"/>
      <c r="BRV59" s="166"/>
      <c r="BRW59" s="166"/>
      <c r="BRX59" s="166"/>
      <c r="BRY59" s="166"/>
      <c r="BRZ59" s="166"/>
      <c r="BSA59" s="166"/>
      <c r="BSB59" s="166"/>
      <c r="BSC59" s="166"/>
      <c r="BSD59" s="166"/>
      <c r="BSE59" s="166"/>
      <c r="BSF59" s="166"/>
      <c r="BSG59" s="166"/>
      <c r="BSH59" s="166"/>
      <c r="BSI59" s="166"/>
      <c r="BSJ59" s="166"/>
      <c r="BSK59" s="166"/>
      <c r="BSL59" s="166"/>
      <c r="BSM59" s="166"/>
      <c r="BSN59" s="166"/>
      <c r="BSO59" s="166"/>
      <c r="BSP59" s="166"/>
      <c r="BSQ59" s="166"/>
      <c r="BSR59" s="166"/>
      <c r="BSS59" s="166"/>
    </row>
    <row r="60" spans="1:1865" ht="20.100000000000001" customHeight="1" x14ac:dyDescent="0.3">
      <c r="A60" s="100" t="s">
        <v>21</v>
      </c>
      <c r="B60" s="63"/>
      <c r="C60" s="218"/>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165"/>
      <c r="BHG60" s="166"/>
      <c r="BHH60" s="166"/>
      <c r="BHI60" s="166"/>
      <c r="BHJ60" s="166"/>
      <c r="BHK60" s="166"/>
      <c r="BHL60" s="166"/>
      <c r="BHM60" s="166"/>
      <c r="BHN60" s="166"/>
      <c r="BHO60" s="166"/>
      <c r="BHP60" s="166"/>
      <c r="BHQ60" s="166"/>
      <c r="BHR60" s="166"/>
      <c r="BHS60" s="166"/>
      <c r="BHT60" s="166"/>
      <c r="BHU60" s="166"/>
      <c r="BHV60" s="166"/>
      <c r="BHW60" s="166"/>
      <c r="BHX60" s="166"/>
      <c r="BHY60" s="166"/>
      <c r="BHZ60" s="166"/>
      <c r="BIA60" s="166"/>
      <c r="BIB60" s="166"/>
      <c r="BIC60" s="166"/>
      <c r="BID60" s="166"/>
      <c r="BIE60" s="166"/>
      <c r="BIF60" s="166"/>
      <c r="BIG60" s="166"/>
      <c r="BIH60" s="166"/>
      <c r="BII60" s="166"/>
      <c r="BIJ60" s="166"/>
      <c r="BIK60" s="166"/>
      <c r="BIL60" s="166"/>
      <c r="BIM60" s="166"/>
      <c r="BIN60" s="166"/>
      <c r="BIO60" s="166"/>
      <c r="BIP60" s="166"/>
      <c r="BIQ60" s="166"/>
      <c r="BIR60" s="166"/>
      <c r="BIS60" s="166"/>
      <c r="BIT60" s="166"/>
      <c r="BIU60" s="166"/>
      <c r="BIV60" s="166"/>
      <c r="BIW60" s="166"/>
      <c r="BIX60" s="166"/>
      <c r="BIY60" s="166"/>
      <c r="BIZ60" s="166"/>
      <c r="BJA60" s="166"/>
      <c r="BJB60" s="166"/>
      <c r="BJC60" s="166"/>
      <c r="BJD60" s="166"/>
      <c r="BJE60" s="166"/>
      <c r="BJF60" s="166"/>
      <c r="BJG60" s="166"/>
      <c r="BJH60" s="166"/>
      <c r="BJI60" s="166"/>
      <c r="BJJ60" s="166"/>
      <c r="BJK60" s="166"/>
      <c r="BJL60" s="166"/>
      <c r="BJM60" s="166"/>
      <c r="BJN60" s="166"/>
      <c r="BJO60" s="166"/>
      <c r="BJP60" s="166"/>
      <c r="BJQ60" s="166"/>
      <c r="BJR60" s="166"/>
      <c r="BJS60" s="166"/>
      <c r="BJT60" s="166"/>
      <c r="BJU60" s="166"/>
      <c r="BJV60" s="166"/>
      <c r="BJW60" s="166"/>
      <c r="BJX60" s="166"/>
      <c r="BJY60" s="166"/>
      <c r="BJZ60" s="166"/>
      <c r="BKA60" s="166"/>
      <c r="BKB60" s="166"/>
      <c r="BKC60" s="166"/>
      <c r="BKD60" s="166"/>
      <c r="BKE60" s="166"/>
      <c r="BKF60" s="166"/>
      <c r="BKG60" s="166"/>
      <c r="BKH60" s="166"/>
      <c r="BKI60" s="166"/>
      <c r="BKJ60" s="166"/>
      <c r="BKK60" s="166"/>
      <c r="BKL60" s="166"/>
      <c r="BKM60" s="166"/>
      <c r="BKN60" s="166"/>
      <c r="BKO60" s="166"/>
      <c r="BKP60" s="166"/>
      <c r="BKQ60" s="166"/>
      <c r="BKR60" s="166"/>
      <c r="BKS60" s="166"/>
      <c r="BKT60" s="166"/>
      <c r="BKU60" s="166"/>
      <c r="BKV60" s="166"/>
      <c r="BKW60" s="166"/>
      <c r="BKX60" s="166"/>
      <c r="BKY60" s="166"/>
      <c r="BKZ60" s="166"/>
      <c r="BLA60" s="166"/>
      <c r="BLB60" s="166"/>
      <c r="BLC60" s="166"/>
      <c r="BLD60" s="166"/>
      <c r="BLE60" s="166"/>
      <c r="BLF60" s="166"/>
      <c r="BLG60" s="166"/>
      <c r="BLH60" s="166"/>
      <c r="BLI60" s="166"/>
      <c r="BLJ60" s="166"/>
      <c r="BLK60" s="166"/>
      <c r="BLL60" s="166"/>
      <c r="BLM60" s="166"/>
      <c r="BLN60" s="166"/>
      <c r="BLO60" s="166"/>
      <c r="BLP60" s="166"/>
      <c r="BLQ60" s="166"/>
      <c r="BLR60" s="166"/>
      <c r="BLS60" s="166"/>
      <c r="BLT60" s="166"/>
      <c r="BLU60" s="166"/>
      <c r="BLV60" s="166"/>
      <c r="BLW60" s="166"/>
      <c r="BLX60" s="166"/>
      <c r="BLY60" s="166"/>
      <c r="BLZ60" s="166"/>
      <c r="BMA60" s="166"/>
      <c r="BMB60" s="166"/>
      <c r="BMC60" s="166"/>
      <c r="BMD60" s="166"/>
      <c r="BME60" s="166"/>
      <c r="BMF60" s="166"/>
      <c r="BMG60" s="166"/>
      <c r="BMH60" s="166"/>
      <c r="BMI60" s="166"/>
      <c r="BMJ60" s="166"/>
      <c r="BMK60" s="166"/>
      <c r="BML60" s="166"/>
      <c r="BMM60" s="166"/>
      <c r="BMN60" s="166"/>
      <c r="BMO60" s="166"/>
      <c r="BMP60" s="166"/>
      <c r="BMQ60" s="166"/>
      <c r="BMR60" s="166"/>
      <c r="BMS60" s="166"/>
      <c r="BMT60" s="166"/>
      <c r="BMU60" s="166"/>
      <c r="BMV60" s="166"/>
      <c r="BMW60" s="166"/>
      <c r="BMX60" s="166"/>
      <c r="BMY60" s="166"/>
      <c r="BMZ60" s="166"/>
      <c r="BNA60" s="166"/>
      <c r="BNB60" s="166"/>
      <c r="BNC60" s="166"/>
      <c r="BND60" s="166"/>
      <c r="BNE60" s="166"/>
      <c r="BNF60" s="166"/>
      <c r="BNG60" s="166"/>
      <c r="BNH60" s="166"/>
      <c r="BNI60" s="166"/>
      <c r="BNJ60" s="166"/>
      <c r="BNK60" s="166"/>
      <c r="BNL60" s="166"/>
      <c r="BNM60" s="166"/>
      <c r="BNN60" s="166"/>
      <c r="BNO60" s="166"/>
      <c r="BNP60" s="166"/>
      <c r="BNQ60" s="166"/>
      <c r="BNR60" s="166"/>
      <c r="BNS60" s="166"/>
      <c r="BNT60" s="166"/>
      <c r="BNU60" s="166"/>
      <c r="BNV60" s="166"/>
      <c r="BNW60" s="166"/>
      <c r="BNX60" s="166"/>
      <c r="BNY60" s="166"/>
      <c r="BNZ60" s="166"/>
      <c r="BOA60" s="166"/>
      <c r="BOB60" s="166"/>
      <c r="BOC60" s="166"/>
      <c r="BOD60" s="166"/>
      <c r="BOE60" s="166"/>
      <c r="BOF60" s="166"/>
      <c r="BOG60" s="166"/>
      <c r="BOH60" s="166"/>
      <c r="BOI60" s="166"/>
      <c r="BOJ60" s="166"/>
      <c r="BOK60" s="166"/>
      <c r="BOL60" s="166"/>
      <c r="BOM60" s="166"/>
      <c r="BON60" s="166"/>
      <c r="BOO60" s="166"/>
      <c r="BOP60" s="166"/>
      <c r="BOQ60" s="166"/>
      <c r="BOR60" s="166"/>
      <c r="BOS60" s="166"/>
      <c r="BOT60" s="166"/>
      <c r="BOU60" s="166"/>
      <c r="BOV60" s="166"/>
      <c r="BOW60" s="166"/>
      <c r="BOX60" s="166"/>
      <c r="BOY60" s="166"/>
      <c r="BOZ60" s="166"/>
      <c r="BPA60" s="166"/>
      <c r="BPB60" s="166"/>
      <c r="BPC60" s="166"/>
      <c r="BPD60" s="166"/>
      <c r="BPE60" s="166"/>
      <c r="BPF60" s="166"/>
      <c r="BPG60" s="166"/>
      <c r="BPH60" s="166"/>
      <c r="BPI60" s="166"/>
      <c r="BPJ60" s="166"/>
      <c r="BPK60" s="166"/>
      <c r="BPL60" s="166"/>
      <c r="BPM60" s="166"/>
      <c r="BPN60" s="166"/>
      <c r="BPO60" s="166"/>
      <c r="BPP60" s="166"/>
      <c r="BPQ60" s="166"/>
      <c r="BPR60" s="166"/>
      <c r="BPS60" s="166"/>
      <c r="BPT60" s="166"/>
      <c r="BPU60" s="166"/>
      <c r="BPV60" s="166"/>
      <c r="BPW60" s="166"/>
      <c r="BPX60" s="166"/>
      <c r="BPY60" s="166"/>
      <c r="BPZ60" s="166"/>
      <c r="BQA60" s="166"/>
      <c r="BQB60" s="166"/>
      <c r="BQC60" s="166"/>
      <c r="BQD60" s="166"/>
      <c r="BQE60" s="166"/>
      <c r="BQF60" s="166"/>
      <c r="BQG60" s="166"/>
      <c r="BQH60" s="166"/>
      <c r="BQI60" s="166"/>
      <c r="BQJ60" s="166"/>
      <c r="BQK60" s="166"/>
      <c r="BQL60" s="166"/>
      <c r="BQM60" s="166"/>
      <c r="BQN60" s="166"/>
      <c r="BQO60" s="166"/>
      <c r="BQP60" s="166"/>
      <c r="BQQ60" s="166"/>
      <c r="BQR60" s="166"/>
      <c r="BQS60" s="166"/>
      <c r="BQT60" s="166"/>
      <c r="BQU60" s="166"/>
      <c r="BQV60" s="166"/>
      <c r="BQW60" s="166"/>
      <c r="BQX60" s="166"/>
      <c r="BQY60" s="166"/>
      <c r="BQZ60" s="166"/>
      <c r="BRA60" s="166"/>
      <c r="BRB60" s="166"/>
      <c r="BRC60" s="166"/>
      <c r="BRD60" s="166"/>
      <c r="BRE60" s="166"/>
      <c r="BRF60" s="166"/>
      <c r="BRG60" s="166"/>
      <c r="BRH60" s="166"/>
      <c r="BRI60" s="166"/>
      <c r="BRJ60" s="166"/>
      <c r="BRK60" s="166"/>
      <c r="BRL60" s="166"/>
      <c r="BRM60" s="166"/>
      <c r="BRN60" s="166"/>
      <c r="BRO60" s="166"/>
      <c r="BRP60" s="166"/>
      <c r="BRQ60" s="166"/>
      <c r="BRR60" s="166"/>
      <c r="BRS60" s="166"/>
      <c r="BRT60" s="166"/>
      <c r="BRU60" s="166"/>
      <c r="BRV60" s="166"/>
      <c r="BRW60" s="166"/>
      <c r="BRX60" s="166"/>
      <c r="BRY60" s="166"/>
      <c r="BRZ60" s="166"/>
      <c r="BSA60" s="166"/>
      <c r="BSB60" s="166"/>
      <c r="BSC60" s="166"/>
      <c r="BSD60" s="166"/>
      <c r="BSE60" s="166"/>
      <c r="BSF60" s="166"/>
      <c r="BSG60" s="166"/>
      <c r="BSH60" s="166"/>
      <c r="BSI60" s="166"/>
      <c r="BSJ60" s="166"/>
      <c r="BSK60" s="166"/>
      <c r="BSL60" s="166"/>
      <c r="BSM60" s="166"/>
      <c r="BSN60" s="166"/>
      <c r="BSO60" s="166"/>
      <c r="BSP60" s="166"/>
      <c r="BSQ60" s="166"/>
      <c r="BSR60" s="166"/>
      <c r="BSS60" s="166"/>
    </row>
    <row r="61" spans="1:1865" ht="20.100000000000001" customHeight="1" x14ac:dyDescent="0.25">
      <c r="A61" s="100" t="s">
        <v>20</v>
      </c>
      <c r="B61" s="63"/>
      <c r="C61" s="207"/>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165"/>
      <c r="BHG61" s="166"/>
      <c r="BHH61" s="166"/>
      <c r="BHI61" s="166"/>
      <c r="BHJ61" s="166"/>
      <c r="BHK61" s="166"/>
      <c r="BHL61" s="166"/>
      <c r="BHM61" s="166"/>
      <c r="BHN61" s="166"/>
      <c r="BHO61" s="166"/>
      <c r="BHP61" s="166"/>
      <c r="BHQ61" s="166"/>
      <c r="BHR61" s="166"/>
      <c r="BHS61" s="166"/>
      <c r="BHT61" s="166"/>
      <c r="BHU61" s="166"/>
      <c r="BHV61" s="166"/>
      <c r="BHW61" s="166"/>
      <c r="BHX61" s="166"/>
      <c r="BHY61" s="166"/>
      <c r="BHZ61" s="166"/>
      <c r="BIA61" s="166"/>
      <c r="BIB61" s="166"/>
      <c r="BIC61" s="166"/>
      <c r="BID61" s="166"/>
      <c r="BIE61" s="166"/>
      <c r="BIF61" s="166"/>
      <c r="BIG61" s="166"/>
      <c r="BIH61" s="166"/>
      <c r="BII61" s="166"/>
      <c r="BIJ61" s="166"/>
      <c r="BIK61" s="166"/>
      <c r="BIL61" s="166"/>
      <c r="BIM61" s="166"/>
      <c r="BIN61" s="166"/>
      <c r="BIO61" s="166"/>
      <c r="BIP61" s="166"/>
      <c r="BIQ61" s="166"/>
      <c r="BIR61" s="166"/>
      <c r="BIS61" s="166"/>
      <c r="BIT61" s="166"/>
      <c r="BIU61" s="166"/>
      <c r="BIV61" s="166"/>
      <c r="BIW61" s="166"/>
      <c r="BIX61" s="166"/>
      <c r="BIY61" s="166"/>
      <c r="BIZ61" s="166"/>
      <c r="BJA61" s="166"/>
      <c r="BJB61" s="166"/>
      <c r="BJC61" s="166"/>
      <c r="BJD61" s="166"/>
      <c r="BJE61" s="166"/>
      <c r="BJF61" s="166"/>
      <c r="BJG61" s="166"/>
      <c r="BJH61" s="166"/>
      <c r="BJI61" s="166"/>
      <c r="BJJ61" s="166"/>
      <c r="BJK61" s="166"/>
      <c r="BJL61" s="166"/>
      <c r="BJM61" s="166"/>
      <c r="BJN61" s="166"/>
      <c r="BJO61" s="166"/>
      <c r="BJP61" s="166"/>
      <c r="BJQ61" s="166"/>
      <c r="BJR61" s="166"/>
      <c r="BJS61" s="166"/>
      <c r="BJT61" s="166"/>
      <c r="BJU61" s="166"/>
      <c r="BJV61" s="166"/>
      <c r="BJW61" s="166"/>
      <c r="BJX61" s="166"/>
      <c r="BJY61" s="166"/>
      <c r="BJZ61" s="166"/>
      <c r="BKA61" s="166"/>
      <c r="BKB61" s="166"/>
      <c r="BKC61" s="166"/>
      <c r="BKD61" s="166"/>
      <c r="BKE61" s="166"/>
      <c r="BKF61" s="166"/>
      <c r="BKG61" s="166"/>
      <c r="BKH61" s="166"/>
      <c r="BKI61" s="166"/>
      <c r="BKJ61" s="166"/>
      <c r="BKK61" s="166"/>
      <c r="BKL61" s="166"/>
      <c r="BKM61" s="166"/>
      <c r="BKN61" s="166"/>
      <c r="BKO61" s="166"/>
      <c r="BKP61" s="166"/>
      <c r="BKQ61" s="166"/>
      <c r="BKR61" s="166"/>
      <c r="BKS61" s="166"/>
      <c r="BKT61" s="166"/>
      <c r="BKU61" s="166"/>
      <c r="BKV61" s="166"/>
      <c r="BKW61" s="166"/>
      <c r="BKX61" s="166"/>
      <c r="BKY61" s="166"/>
      <c r="BKZ61" s="166"/>
      <c r="BLA61" s="166"/>
      <c r="BLB61" s="166"/>
      <c r="BLC61" s="166"/>
      <c r="BLD61" s="166"/>
      <c r="BLE61" s="166"/>
      <c r="BLF61" s="166"/>
      <c r="BLG61" s="166"/>
      <c r="BLH61" s="166"/>
      <c r="BLI61" s="166"/>
      <c r="BLJ61" s="166"/>
      <c r="BLK61" s="166"/>
      <c r="BLL61" s="166"/>
      <c r="BLM61" s="166"/>
      <c r="BLN61" s="166"/>
      <c r="BLO61" s="166"/>
      <c r="BLP61" s="166"/>
      <c r="BLQ61" s="166"/>
      <c r="BLR61" s="166"/>
      <c r="BLS61" s="166"/>
      <c r="BLT61" s="166"/>
      <c r="BLU61" s="166"/>
      <c r="BLV61" s="166"/>
      <c r="BLW61" s="166"/>
      <c r="BLX61" s="166"/>
      <c r="BLY61" s="166"/>
      <c r="BLZ61" s="166"/>
      <c r="BMA61" s="166"/>
      <c r="BMB61" s="166"/>
      <c r="BMC61" s="166"/>
      <c r="BMD61" s="166"/>
      <c r="BME61" s="166"/>
      <c r="BMF61" s="166"/>
      <c r="BMG61" s="166"/>
      <c r="BMH61" s="166"/>
      <c r="BMI61" s="166"/>
      <c r="BMJ61" s="166"/>
      <c r="BMK61" s="166"/>
      <c r="BML61" s="166"/>
      <c r="BMM61" s="166"/>
      <c r="BMN61" s="166"/>
      <c r="BMO61" s="166"/>
      <c r="BMP61" s="166"/>
      <c r="BMQ61" s="166"/>
      <c r="BMR61" s="166"/>
      <c r="BMS61" s="166"/>
      <c r="BMT61" s="166"/>
      <c r="BMU61" s="166"/>
      <c r="BMV61" s="166"/>
      <c r="BMW61" s="166"/>
      <c r="BMX61" s="166"/>
      <c r="BMY61" s="166"/>
      <c r="BMZ61" s="166"/>
      <c r="BNA61" s="166"/>
      <c r="BNB61" s="166"/>
      <c r="BNC61" s="166"/>
      <c r="BND61" s="166"/>
      <c r="BNE61" s="166"/>
      <c r="BNF61" s="166"/>
      <c r="BNG61" s="166"/>
      <c r="BNH61" s="166"/>
      <c r="BNI61" s="166"/>
      <c r="BNJ61" s="166"/>
      <c r="BNK61" s="166"/>
      <c r="BNL61" s="166"/>
      <c r="BNM61" s="166"/>
      <c r="BNN61" s="166"/>
      <c r="BNO61" s="166"/>
      <c r="BNP61" s="166"/>
      <c r="BNQ61" s="166"/>
      <c r="BNR61" s="166"/>
      <c r="BNS61" s="166"/>
      <c r="BNT61" s="166"/>
      <c r="BNU61" s="166"/>
      <c r="BNV61" s="166"/>
      <c r="BNW61" s="166"/>
      <c r="BNX61" s="166"/>
      <c r="BNY61" s="166"/>
      <c r="BNZ61" s="166"/>
      <c r="BOA61" s="166"/>
      <c r="BOB61" s="166"/>
      <c r="BOC61" s="166"/>
      <c r="BOD61" s="166"/>
      <c r="BOE61" s="166"/>
      <c r="BOF61" s="166"/>
      <c r="BOG61" s="166"/>
      <c r="BOH61" s="166"/>
      <c r="BOI61" s="166"/>
      <c r="BOJ61" s="166"/>
      <c r="BOK61" s="166"/>
      <c r="BOL61" s="166"/>
      <c r="BOM61" s="166"/>
      <c r="BON61" s="166"/>
      <c r="BOO61" s="166"/>
      <c r="BOP61" s="166"/>
      <c r="BOQ61" s="166"/>
      <c r="BOR61" s="166"/>
      <c r="BOS61" s="166"/>
      <c r="BOT61" s="166"/>
      <c r="BOU61" s="166"/>
      <c r="BOV61" s="166"/>
      <c r="BOW61" s="166"/>
      <c r="BOX61" s="166"/>
      <c r="BOY61" s="166"/>
      <c r="BOZ61" s="166"/>
      <c r="BPA61" s="166"/>
      <c r="BPB61" s="166"/>
      <c r="BPC61" s="166"/>
      <c r="BPD61" s="166"/>
      <c r="BPE61" s="166"/>
      <c r="BPF61" s="166"/>
      <c r="BPG61" s="166"/>
      <c r="BPH61" s="166"/>
      <c r="BPI61" s="166"/>
      <c r="BPJ61" s="166"/>
      <c r="BPK61" s="166"/>
      <c r="BPL61" s="166"/>
      <c r="BPM61" s="166"/>
      <c r="BPN61" s="166"/>
      <c r="BPO61" s="166"/>
      <c r="BPP61" s="166"/>
      <c r="BPQ61" s="166"/>
      <c r="BPR61" s="166"/>
      <c r="BPS61" s="166"/>
      <c r="BPT61" s="166"/>
      <c r="BPU61" s="166"/>
      <c r="BPV61" s="166"/>
      <c r="BPW61" s="166"/>
      <c r="BPX61" s="166"/>
      <c r="BPY61" s="166"/>
      <c r="BPZ61" s="166"/>
      <c r="BQA61" s="166"/>
      <c r="BQB61" s="166"/>
      <c r="BQC61" s="166"/>
      <c r="BQD61" s="166"/>
      <c r="BQE61" s="166"/>
      <c r="BQF61" s="166"/>
      <c r="BQG61" s="166"/>
      <c r="BQH61" s="166"/>
      <c r="BQI61" s="166"/>
      <c r="BQJ61" s="166"/>
      <c r="BQK61" s="166"/>
      <c r="BQL61" s="166"/>
      <c r="BQM61" s="166"/>
      <c r="BQN61" s="166"/>
      <c r="BQO61" s="166"/>
      <c r="BQP61" s="166"/>
      <c r="BQQ61" s="166"/>
      <c r="BQR61" s="166"/>
      <c r="BQS61" s="166"/>
      <c r="BQT61" s="166"/>
      <c r="BQU61" s="166"/>
      <c r="BQV61" s="166"/>
      <c r="BQW61" s="166"/>
      <c r="BQX61" s="166"/>
      <c r="BQY61" s="166"/>
      <c r="BQZ61" s="166"/>
      <c r="BRA61" s="166"/>
      <c r="BRB61" s="166"/>
      <c r="BRC61" s="166"/>
      <c r="BRD61" s="166"/>
      <c r="BRE61" s="166"/>
      <c r="BRF61" s="166"/>
      <c r="BRG61" s="166"/>
      <c r="BRH61" s="166"/>
      <c r="BRI61" s="166"/>
      <c r="BRJ61" s="166"/>
      <c r="BRK61" s="166"/>
      <c r="BRL61" s="166"/>
      <c r="BRM61" s="166"/>
      <c r="BRN61" s="166"/>
      <c r="BRO61" s="166"/>
      <c r="BRP61" s="166"/>
      <c r="BRQ61" s="166"/>
      <c r="BRR61" s="166"/>
      <c r="BRS61" s="166"/>
      <c r="BRT61" s="166"/>
      <c r="BRU61" s="166"/>
      <c r="BRV61" s="166"/>
      <c r="BRW61" s="166"/>
      <c r="BRX61" s="166"/>
      <c r="BRY61" s="166"/>
      <c r="BRZ61" s="166"/>
      <c r="BSA61" s="166"/>
      <c r="BSB61" s="166"/>
      <c r="BSC61" s="166"/>
      <c r="BSD61" s="166"/>
      <c r="BSE61" s="166"/>
      <c r="BSF61" s="166"/>
      <c r="BSG61" s="166"/>
      <c r="BSH61" s="166"/>
      <c r="BSI61" s="166"/>
      <c r="BSJ61" s="166"/>
      <c r="BSK61" s="166"/>
      <c r="BSL61" s="166"/>
      <c r="BSM61" s="166"/>
      <c r="BSN61" s="166"/>
      <c r="BSO61" s="166"/>
      <c r="BSP61" s="166"/>
      <c r="BSQ61" s="166"/>
      <c r="BSR61" s="166"/>
      <c r="BSS61" s="166"/>
    </row>
    <row r="62" spans="1:1865" ht="20.100000000000001" customHeight="1" x14ac:dyDescent="0.25">
      <c r="A62" s="100" t="s">
        <v>21</v>
      </c>
      <c r="B62" s="63"/>
      <c r="C62" s="208"/>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165"/>
      <c r="BHG62" s="166"/>
      <c r="BHH62" s="166"/>
      <c r="BHI62" s="166"/>
      <c r="BHJ62" s="166"/>
      <c r="BHK62" s="166"/>
      <c r="BHL62" s="166"/>
      <c r="BHM62" s="166"/>
      <c r="BHN62" s="166"/>
      <c r="BHO62" s="166"/>
      <c r="BHP62" s="166"/>
      <c r="BHQ62" s="166"/>
      <c r="BHR62" s="166"/>
      <c r="BHS62" s="166"/>
      <c r="BHT62" s="166"/>
      <c r="BHU62" s="166"/>
      <c r="BHV62" s="166"/>
      <c r="BHW62" s="166"/>
      <c r="BHX62" s="166"/>
      <c r="BHY62" s="166"/>
      <c r="BHZ62" s="166"/>
      <c r="BIA62" s="166"/>
      <c r="BIB62" s="166"/>
      <c r="BIC62" s="166"/>
      <c r="BID62" s="166"/>
      <c r="BIE62" s="166"/>
      <c r="BIF62" s="166"/>
      <c r="BIG62" s="166"/>
      <c r="BIH62" s="166"/>
      <c r="BII62" s="166"/>
      <c r="BIJ62" s="166"/>
      <c r="BIK62" s="166"/>
      <c r="BIL62" s="166"/>
      <c r="BIM62" s="166"/>
      <c r="BIN62" s="166"/>
      <c r="BIO62" s="166"/>
      <c r="BIP62" s="166"/>
      <c r="BIQ62" s="166"/>
      <c r="BIR62" s="166"/>
      <c r="BIS62" s="166"/>
      <c r="BIT62" s="166"/>
      <c r="BIU62" s="166"/>
      <c r="BIV62" s="166"/>
      <c r="BIW62" s="166"/>
      <c r="BIX62" s="166"/>
      <c r="BIY62" s="166"/>
      <c r="BIZ62" s="166"/>
      <c r="BJA62" s="166"/>
      <c r="BJB62" s="166"/>
      <c r="BJC62" s="166"/>
      <c r="BJD62" s="166"/>
      <c r="BJE62" s="166"/>
      <c r="BJF62" s="166"/>
      <c r="BJG62" s="166"/>
      <c r="BJH62" s="166"/>
      <c r="BJI62" s="166"/>
      <c r="BJJ62" s="166"/>
      <c r="BJK62" s="166"/>
      <c r="BJL62" s="166"/>
      <c r="BJM62" s="166"/>
      <c r="BJN62" s="166"/>
      <c r="BJO62" s="166"/>
      <c r="BJP62" s="166"/>
      <c r="BJQ62" s="166"/>
      <c r="BJR62" s="166"/>
      <c r="BJS62" s="166"/>
      <c r="BJT62" s="166"/>
      <c r="BJU62" s="166"/>
      <c r="BJV62" s="166"/>
      <c r="BJW62" s="166"/>
      <c r="BJX62" s="166"/>
      <c r="BJY62" s="166"/>
      <c r="BJZ62" s="166"/>
      <c r="BKA62" s="166"/>
      <c r="BKB62" s="166"/>
      <c r="BKC62" s="166"/>
      <c r="BKD62" s="166"/>
      <c r="BKE62" s="166"/>
      <c r="BKF62" s="166"/>
      <c r="BKG62" s="166"/>
      <c r="BKH62" s="166"/>
      <c r="BKI62" s="166"/>
      <c r="BKJ62" s="166"/>
      <c r="BKK62" s="166"/>
      <c r="BKL62" s="166"/>
      <c r="BKM62" s="166"/>
      <c r="BKN62" s="166"/>
      <c r="BKO62" s="166"/>
      <c r="BKP62" s="166"/>
      <c r="BKQ62" s="166"/>
      <c r="BKR62" s="166"/>
      <c r="BKS62" s="166"/>
      <c r="BKT62" s="166"/>
      <c r="BKU62" s="166"/>
      <c r="BKV62" s="166"/>
      <c r="BKW62" s="166"/>
      <c r="BKX62" s="166"/>
      <c r="BKY62" s="166"/>
      <c r="BKZ62" s="166"/>
      <c r="BLA62" s="166"/>
      <c r="BLB62" s="166"/>
      <c r="BLC62" s="166"/>
      <c r="BLD62" s="166"/>
      <c r="BLE62" s="166"/>
      <c r="BLF62" s="166"/>
      <c r="BLG62" s="166"/>
      <c r="BLH62" s="166"/>
      <c r="BLI62" s="166"/>
      <c r="BLJ62" s="166"/>
      <c r="BLK62" s="166"/>
      <c r="BLL62" s="166"/>
      <c r="BLM62" s="166"/>
      <c r="BLN62" s="166"/>
      <c r="BLO62" s="166"/>
      <c r="BLP62" s="166"/>
      <c r="BLQ62" s="166"/>
      <c r="BLR62" s="166"/>
      <c r="BLS62" s="166"/>
      <c r="BLT62" s="166"/>
      <c r="BLU62" s="166"/>
      <c r="BLV62" s="166"/>
      <c r="BLW62" s="166"/>
      <c r="BLX62" s="166"/>
      <c r="BLY62" s="166"/>
      <c r="BLZ62" s="166"/>
      <c r="BMA62" s="166"/>
      <c r="BMB62" s="166"/>
      <c r="BMC62" s="166"/>
      <c r="BMD62" s="166"/>
      <c r="BME62" s="166"/>
      <c r="BMF62" s="166"/>
      <c r="BMG62" s="166"/>
      <c r="BMH62" s="166"/>
      <c r="BMI62" s="166"/>
      <c r="BMJ62" s="166"/>
      <c r="BMK62" s="166"/>
      <c r="BML62" s="166"/>
      <c r="BMM62" s="166"/>
      <c r="BMN62" s="166"/>
      <c r="BMO62" s="166"/>
      <c r="BMP62" s="166"/>
      <c r="BMQ62" s="166"/>
      <c r="BMR62" s="166"/>
      <c r="BMS62" s="166"/>
      <c r="BMT62" s="166"/>
      <c r="BMU62" s="166"/>
      <c r="BMV62" s="166"/>
      <c r="BMW62" s="166"/>
      <c r="BMX62" s="166"/>
      <c r="BMY62" s="166"/>
      <c r="BMZ62" s="166"/>
      <c r="BNA62" s="166"/>
      <c r="BNB62" s="166"/>
      <c r="BNC62" s="166"/>
      <c r="BND62" s="166"/>
      <c r="BNE62" s="166"/>
      <c r="BNF62" s="166"/>
      <c r="BNG62" s="166"/>
      <c r="BNH62" s="166"/>
      <c r="BNI62" s="166"/>
      <c r="BNJ62" s="166"/>
      <c r="BNK62" s="166"/>
      <c r="BNL62" s="166"/>
      <c r="BNM62" s="166"/>
      <c r="BNN62" s="166"/>
      <c r="BNO62" s="166"/>
      <c r="BNP62" s="166"/>
      <c r="BNQ62" s="166"/>
      <c r="BNR62" s="166"/>
      <c r="BNS62" s="166"/>
      <c r="BNT62" s="166"/>
      <c r="BNU62" s="166"/>
      <c r="BNV62" s="166"/>
      <c r="BNW62" s="166"/>
      <c r="BNX62" s="166"/>
      <c r="BNY62" s="166"/>
      <c r="BNZ62" s="166"/>
      <c r="BOA62" s="166"/>
      <c r="BOB62" s="166"/>
      <c r="BOC62" s="166"/>
      <c r="BOD62" s="166"/>
      <c r="BOE62" s="166"/>
      <c r="BOF62" s="166"/>
      <c r="BOG62" s="166"/>
      <c r="BOH62" s="166"/>
      <c r="BOI62" s="166"/>
      <c r="BOJ62" s="166"/>
      <c r="BOK62" s="166"/>
      <c r="BOL62" s="166"/>
      <c r="BOM62" s="166"/>
      <c r="BON62" s="166"/>
      <c r="BOO62" s="166"/>
      <c r="BOP62" s="166"/>
      <c r="BOQ62" s="166"/>
      <c r="BOR62" s="166"/>
      <c r="BOS62" s="166"/>
      <c r="BOT62" s="166"/>
      <c r="BOU62" s="166"/>
      <c r="BOV62" s="166"/>
      <c r="BOW62" s="166"/>
      <c r="BOX62" s="166"/>
      <c r="BOY62" s="166"/>
      <c r="BOZ62" s="166"/>
      <c r="BPA62" s="166"/>
      <c r="BPB62" s="166"/>
      <c r="BPC62" s="166"/>
      <c r="BPD62" s="166"/>
      <c r="BPE62" s="166"/>
      <c r="BPF62" s="166"/>
      <c r="BPG62" s="166"/>
      <c r="BPH62" s="166"/>
      <c r="BPI62" s="166"/>
      <c r="BPJ62" s="166"/>
      <c r="BPK62" s="166"/>
      <c r="BPL62" s="166"/>
      <c r="BPM62" s="166"/>
      <c r="BPN62" s="166"/>
      <c r="BPO62" s="166"/>
      <c r="BPP62" s="166"/>
      <c r="BPQ62" s="166"/>
      <c r="BPR62" s="166"/>
      <c r="BPS62" s="166"/>
      <c r="BPT62" s="166"/>
      <c r="BPU62" s="166"/>
      <c r="BPV62" s="166"/>
      <c r="BPW62" s="166"/>
      <c r="BPX62" s="166"/>
      <c r="BPY62" s="166"/>
      <c r="BPZ62" s="166"/>
      <c r="BQA62" s="166"/>
      <c r="BQB62" s="166"/>
      <c r="BQC62" s="166"/>
      <c r="BQD62" s="166"/>
      <c r="BQE62" s="166"/>
      <c r="BQF62" s="166"/>
      <c r="BQG62" s="166"/>
      <c r="BQH62" s="166"/>
      <c r="BQI62" s="166"/>
      <c r="BQJ62" s="166"/>
      <c r="BQK62" s="166"/>
      <c r="BQL62" s="166"/>
      <c r="BQM62" s="166"/>
      <c r="BQN62" s="166"/>
      <c r="BQO62" s="166"/>
      <c r="BQP62" s="166"/>
      <c r="BQQ62" s="166"/>
      <c r="BQR62" s="166"/>
      <c r="BQS62" s="166"/>
      <c r="BQT62" s="166"/>
      <c r="BQU62" s="166"/>
      <c r="BQV62" s="166"/>
      <c r="BQW62" s="166"/>
      <c r="BQX62" s="166"/>
      <c r="BQY62" s="166"/>
      <c r="BQZ62" s="166"/>
      <c r="BRA62" s="166"/>
      <c r="BRB62" s="166"/>
      <c r="BRC62" s="166"/>
      <c r="BRD62" s="166"/>
      <c r="BRE62" s="166"/>
      <c r="BRF62" s="166"/>
      <c r="BRG62" s="166"/>
      <c r="BRH62" s="166"/>
      <c r="BRI62" s="166"/>
      <c r="BRJ62" s="166"/>
      <c r="BRK62" s="166"/>
      <c r="BRL62" s="166"/>
      <c r="BRM62" s="166"/>
      <c r="BRN62" s="166"/>
      <c r="BRO62" s="166"/>
      <c r="BRP62" s="166"/>
      <c r="BRQ62" s="166"/>
      <c r="BRR62" s="166"/>
      <c r="BRS62" s="166"/>
      <c r="BRT62" s="166"/>
      <c r="BRU62" s="166"/>
      <c r="BRV62" s="166"/>
      <c r="BRW62" s="166"/>
      <c r="BRX62" s="166"/>
      <c r="BRY62" s="166"/>
      <c r="BRZ62" s="166"/>
      <c r="BSA62" s="166"/>
      <c r="BSB62" s="166"/>
      <c r="BSC62" s="166"/>
      <c r="BSD62" s="166"/>
      <c r="BSE62" s="166"/>
      <c r="BSF62" s="166"/>
      <c r="BSG62" s="166"/>
      <c r="BSH62" s="166"/>
      <c r="BSI62" s="166"/>
      <c r="BSJ62" s="166"/>
      <c r="BSK62" s="166"/>
      <c r="BSL62" s="166"/>
      <c r="BSM62" s="166"/>
      <c r="BSN62" s="166"/>
      <c r="BSO62" s="166"/>
      <c r="BSP62" s="166"/>
      <c r="BSQ62" s="166"/>
      <c r="BSR62" s="166"/>
      <c r="BSS62" s="166"/>
    </row>
    <row r="63" spans="1:1865" ht="20.100000000000001" customHeight="1" x14ac:dyDescent="0.25">
      <c r="A63" s="100" t="s">
        <v>20</v>
      </c>
      <c r="B63" s="63"/>
      <c r="C63" s="207"/>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165"/>
      <c r="BHG63" s="166"/>
      <c r="BHH63" s="166"/>
      <c r="BHI63" s="166"/>
      <c r="BHJ63" s="166"/>
      <c r="BHK63" s="166"/>
      <c r="BHL63" s="166"/>
      <c r="BHM63" s="166"/>
      <c r="BHN63" s="166"/>
      <c r="BHO63" s="166"/>
      <c r="BHP63" s="166"/>
      <c r="BHQ63" s="166"/>
      <c r="BHR63" s="166"/>
      <c r="BHS63" s="166"/>
      <c r="BHT63" s="166"/>
      <c r="BHU63" s="166"/>
      <c r="BHV63" s="166"/>
      <c r="BHW63" s="166"/>
      <c r="BHX63" s="166"/>
      <c r="BHY63" s="166"/>
      <c r="BHZ63" s="166"/>
      <c r="BIA63" s="166"/>
      <c r="BIB63" s="166"/>
      <c r="BIC63" s="166"/>
      <c r="BID63" s="166"/>
      <c r="BIE63" s="166"/>
      <c r="BIF63" s="166"/>
      <c r="BIG63" s="166"/>
      <c r="BIH63" s="166"/>
      <c r="BII63" s="166"/>
      <c r="BIJ63" s="166"/>
      <c r="BIK63" s="166"/>
      <c r="BIL63" s="166"/>
      <c r="BIM63" s="166"/>
      <c r="BIN63" s="166"/>
      <c r="BIO63" s="166"/>
      <c r="BIP63" s="166"/>
      <c r="BIQ63" s="166"/>
      <c r="BIR63" s="166"/>
      <c r="BIS63" s="166"/>
      <c r="BIT63" s="166"/>
      <c r="BIU63" s="166"/>
      <c r="BIV63" s="166"/>
      <c r="BIW63" s="166"/>
      <c r="BIX63" s="166"/>
      <c r="BIY63" s="166"/>
      <c r="BIZ63" s="166"/>
      <c r="BJA63" s="166"/>
      <c r="BJB63" s="166"/>
      <c r="BJC63" s="166"/>
      <c r="BJD63" s="166"/>
      <c r="BJE63" s="166"/>
      <c r="BJF63" s="166"/>
      <c r="BJG63" s="166"/>
      <c r="BJH63" s="166"/>
      <c r="BJI63" s="166"/>
      <c r="BJJ63" s="166"/>
      <c r="BJK63" s="166"/>
      <c r="BJL63" s="166"/>
      <c r="BJM63" s="166"/>
      <c r="BJN63" s="166"/>
      <c r="BJO63" s="166"/>
      <c r="BJP63" s="166"/>
      <c r="BJQ63" s="166"/>
      <c r="BJR63" s="166"/>
      <c r="BJS63" s="166"/>
      <c r="BJT63" s="166"/>
      <c r="BJU63" s="166"/>
      <c r="BJV63" s="166"/>
      <c r="BJW63" s="166"/>
      <c r="BJX63" s="166"/>
      <c r="BJY63" s="166"/>
      <c r="BJZ63" s="166"/>
      <c r="BKA63" s="166"/>
      <c r="BKB63" s="166"/>
      <c r="BKC63" s="166"/>
      <c r="BKD63" s="166"/>
      <c r="BKE63" s="166"/>
      <c r="BKF63" s="166"/>
      <c r="BKG63" s="166"/>
      <c r="BKH63" s="166"/>
      <c r="BKI63" s="166"/>
      <c r="BKJ63" s="166"/>
      <c r="BKK63" s="166"/>
      <c r="BKL63" s="166"/>
      <c r="BKM63" s="166"/>
      <c r="BKN63" s="166"/>
      <c r="BKO63" s="166"/>
      <c r="BKP63" s="166"/>
      <c r="BKQ63" s="166"/>
      <c r="BKR63" s="166"/>
      <c r="BKS63" s="166"/>
      <c r="BKT63" s="166"/>
      <c r="BKU63" s="166"/>
      <c r="BKV63" s="166"/>
      <c r="BKW63" s="166"/>
      <c r="BKX63" s="166"/>
      <c r="BKY63" s="166"/>
      <c r="BKZ63" s="166"/>
      <c r="BLA63" s="166"/>
      <c r="BLB63" s="166"/>
      <c r="BLC63" s="166"/>
      <c r="BLD63" s="166"/>
      <c r="BLE63" s="166"/>
      <c r="BLF63" s="166"/>
      <c r="BLG63" s="166"/>
      <c r="BLH63" s="166"/>
      <c r="BLI63" s="166"/>
      <c r="BLJ63" s="166"/>
      <c r="BLK63" s="166"/>
      <c r="BLL63" s="166"/>
      <c r="BLM63" s="166"/>
      <c r="BLN63" s="166"/>
      <c r="BLO63" s="166"/>
      <c r="BLP63" s="166"/>
      <c r="BLQ63" s="166"/>
      <c r="BLR63" s="166"/>
      <c r="BLS63" s="166"/>
      <c r="BLT63" s="166"/>
      <c r="BLU63" s="166"/>
      <c r="BLV63" s="166"/>
      <c r="BLW63" s="166"/>
      <c r="BLX63" s="166"/>
      <c r="BLY63" s="166"/>
      <c r="BLZ63" s="166"/>
      <c r="BMA63" s="166"/>
      <c r="BMB63" s="166"/>
      <c r="BMC63" s="166"/>
      <c r="BMD63" s="166"/>
      <c r="BME63" s="166"/>
      <c r="BMF63" s="166"/>
      <c r="BMG63" s="166"/>
      <c r="BMH63" s="166"/>
      <c r="BMI63" s="166"/>
      <c r="BMJ63" s="166"/>
      <c r="BMK63" s="166"/>
      <c r="BML63" s="166"/>
      <c r="BMM63" s="166"/>
      <c r="BMN63" s="166"/>
      <c r="BMO63" s="166"/>
      <c r="BMP63" s="166"/>
      <c r="BMQ63" s="166"/>
      <c r="BMR63" s="166"/>
      <c r="BMS63" s="166"/>
      <c r="BMT63" s="166"/>
      <c r="BMU63" s="166"/>
      <c r="BMV63" s="166"/>
      <c r="BMW63" s="166"/>
      <c r="BMX63" s="166"/>
      <c r="BMY63" s="166"/>
      <c r="BMZ63" s="166"/>
      <c r="BNA63" s="166"/>
      <c r="BNB63" s="166"/>
      <c r="BNC63" s="166"/>
      <c r="BND63" s="166"/>
      <c r="BNE63" s="166"/>
      <c r="BNF63" s="166"/>
      <c r="BNG63" s="166"/>
      <c r="BNH63" s="166"/>
      <c r="BNI63" s="166"/>
      <c r="BNJ63" s="166"/>
      <c r="BNK63" s="166"/>
      <c r="BNL63" s="166"/>
      <c r="BNM63" s="166"/>
      <c r="BNN63" s="166"/>
      <c r="BNO63" s="166"/>
      <c r="BNP63" s="166"/>
      <c r="BNQ63" s="166"/>
      <c r="BNR63" s="166"/>
      <c r="BNS63" s="166"/>
      <c r="BNT63" s="166"/>
      <c r="BNU63" s="166"/>
      <c r="BNV63" s="166"/>
      <c r="BNW63" s="166"/>
      <c r="BNX63" s="166"/>
      <c r="BNY63" s="166"/>
      <c r="BNZ63" s="166"/>
      <c r="BOA63" s="166"/>
      <c r="BOB63" s="166"/>
      <c r="BOC63" s="166"/>
      <c r="BOD63" s="166"/>
      <c r="BOE63" s="166"/>
      <c r="BOF63" s="166"/>
      <c r="BOG63" s="166"/>
      <c r="BOH63" s="166"/>
      <c r="BOI63" s="166"/>
      <c r="BOJ63" s="166"/>
      <c r="BOK63" s="166"/>
      <c r="BOL63" s="166"/>
      <c r="BOM63" s="166"/>
      <c r="BON63" s="166"/>
      <c r="BOO63" s="166"/>
      <c r="BOP63" s="166"/>
      <c r="BOQ63" s="166"/>
      <c r="BOR63" s="166"/>
      <c r="BOS63" s="166"/>
      <c r="BOT63" s="166"/>
      <c r="BOU63" s="166"/>
      <c r="BOV63" s="166"/>
      <c r="BOW63" s="166"/>
      <c r="BOX63" s="166"/>
      <c r="BOY63" s="166"/>
      <c r="BOZ63" s="166"/>
      <c r="BPA63" s="166"/>
      <c r="BPB63" s="166"/>
      <c r="BPC63" s="166"/>
      <c r="BPD63" s="166"/>
      <c r="BPE63" s="166"/>
      <c r="BPF63" s="166"/>
      <c r="BPG63" s="166"/>
      <c r="BPH63" s="166"/>
      <c r="BPI63" s="166"/>
      <c r="BPJ63" s="166"/>
      <c r="BPK63" s="166"/>
      <c r="BPL63" s="166"/>
      <c r="BPM63" s="166"/>
      <c r="BPN63" s="166"/>
      <c r="BPO63" s="166"/>
      <c r="BPP63" s="166"/>
      <c r="BPQ63" s="166"/>
      <c r="BPR63" s="166"/>
      <c r="BPS63" s="166"/>
      <c r="BPT63" s="166"/>
      <c r="BPU63" s="166"/>
      <c r="BPV63" s="166"/>
      <c r="BPW63" s="166"/>
      <c r="BPX63" s="166"/>
      <c r="BPY63" s="166"/>
      <c r="BPZ63" s="166"/>
      <c r="BQA63" s="166"/>
      <c r="BQB63" s="166"/>
      <c r="BQC63" s="166"/>
      <c r="BQD63" s="166"/>
      <c r="BQE63" s="166"/>
      <c r="BQF63" s="166"/>
      <c r="BQG63" s="166"/>
      <c r="BQH63" s="166"/>
      <c r="BQI63" s="166"/>
      <c r="BQJ63" s="166"/>
      <c r="BQK63" s="166"/>
      <c r="BQL63" s="166"/>
      <c r="BQM63" s="166"/>
      <c r="BQN63" s="166"/>
      <c r="BQO63" s="166"/>
      <c r="BQP63" s="166"/>
      <c r="BQQ63" s="166"/>
      <c r="BQR63" s="166"/>
      <c r="BQS63" s="166"/>
      <c r="BQT63" s="166"/>
      <c r="BQU63" s="166"/>
      <c r="BQV63" s="166"/>
      <c r="BQW63" s="166"/>
      <c r="BQX63" s="166"/>
      <c r="BQY63" s="166"/>
      <c r="BQZ63" s="166"/>
      <c r="BRA63" s="166"/>
      <c r="BRB63" s="166"/>
      <c r="BRC63" s="166"/>
      <c r="BRD63" s="166"/>
      <c r="BRE63" s="166"/>
      <c r="BRF63" s="166"/>
      <c r="BRG63" s="166"/>
      <c r="BRH63" s="166"/>
      <c r="BRI63" s="166"/>
      <c r="BRJ63" s="166"/>
      <c r="BRK63" s="166"/>
      <c r="BRL63" s="166"/>
      <c r="BRM63" s="166"/>
      <c r="BRN63" s="166"/>
      <c r="BRO63" s="166"/>
      <c r="BRP63" s="166"/>
      <c r="BRQ63" s="166"/>
      <c r="BRR63" s="166"/>
      <c r="BRS63" s="166"/>
      <c r="BRT63" s="166"/>
      <c r="BRU63" s="166"/>
      <c r="BRV63" s="166"/>
      <c r="BRW63" s="166"/>
      <c r="BRX63" s="166"/>
      <c r="BRY63" s="166"/>
      <c r="BRZ63" s="166"/>
      <c r="BSA63" s="166"/>
      <c r="BSB63" s="166"/>
      <c r="BSC63" s="166"/>
      <c r="BSD63" s="166"/>
      <c r="BSE63" s="166"/>
      <c r="BSF63" s="166"/>
      <c r="BSG63" s="166"/>
      <c r="BSH63" s="166"/>
      <c r="BSI63" s="166"/>
      <c r="BSJ63" s="166"/>
      <c r="BSK63" s="166"/>
      <c r="BSL63" s="166"/>
      <c r="BSM63" s="166"/>
      <c r="BSN63" s="166"/>
      <c r="BSO63" s="166"/>
      <c r="BSP63" s="166"/>
      <c r="BSQ63" s="166"/>
      <c r="BSR63" s="166"/>
      <c r="BSS63" s="166"/>
    </row>
    <row r="64" spans="1:1865" ht="20.100000000000001" customHeight="1" x14ac:dyDescent="0.3">
      <c r="A64" s="100" t="s">
        <v>21</v>
      </c>
      <c r="B64" s="63"/>
      <c r="C64" s="218"/>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165"/>
      <c r="BHG64" s="166"/>
      <c r="BHH64" s="166"/>
      <c r="BHI64" s="166"/>
      <c r="BHJ64" s="166"/>
      <c r="BHK64" s="166"/>
      <c r="BHL64" s="166"/>
      <c r="BHM64" s="166"/>
      <c r="BHN64" s="166"/>
      <c r="BHO64" s="166"/>
      <c r="BHP64" s="166"/>
      <c r="BHQ64" s="166"/>
      <c r="BHR64" s="166"/>
      <c r="BHS64" s="166"/>
      <c r="BHT64" s="166"/>
      <c r="BHU64" s="166"/>
      <c r="BHV64" s="166"/>
      <c r="BHW64" s="166"/>
      <c r="BHX64" s="166"/>
      <c r="BHY64" s="166"/>
      <c r="BHZ64" s="166"/>
      <c r="BIA64" s="166"/>
      <c r="BIB64" s="166"/>
      <c r="BIC64" s="166"/>
      <c r="BID64" s="166"/>
      <c r="BIE64" s="166"/>
      <c r="BIF64" s="166"/>
      <c r="BIG64" s="166"/>
      <c r="BIH64" s="166"/>
      <c r="BII64" s="166"/>
      <c r="BIJ64" s="166"/>
      <c r="BIK64" s="166"/>
      <c r="BIL64" s="166"/>
      <c r="BIM64" s="166"/>
      <c r="BIN64" s="166"/>
      <c r="BIO64" s="166"/>
      <c r="BIP64" s="166"/>
      <c r="BIQ64" s="166"/>
      <c r="BIR64" s="166"/>
      <c r="BIS64" s="166"/>
      <c r="BIT64" s="166"/>
      <c r="BIU64" s="166"/>
      <c r="BIV64" s="166"/>
      <c r="BIW64" s="166"/>
      <c r="BIX64" s="166"/>
      <c r="BIY64" s="166"/>
      <c r="BIZ64" s="166"/>
      <c r="BJA64" s="166"/>
      <c r="BJB64" s="166"/>
      <c r="BJC64" s="166"/>
      <c r="BJD64" s="166"/>
      <c r="BJE64" s="166"/>
      <c r="BJF64" s="166"/>
      <c r="BJG64" s="166"/>
      <c r="BJH64" s="166"/>
      <c r="BJI64" s="166"/>
      <c r="BJJ64" s="166"/>
      <c r="BJK64" s="166"/>
      <c r="BJL64" s="166"/>
      <c r="BJM64" s="166"/>
      <c r="BJN64" s="166"/>
      <c r="BJO64" s="166"/>
      <c r="BJP64" s="166"/>
      <c r="BJQ64" s="166"/>
      <c r="BJR64" s="166"/>
      <c r="BJS64" s="166"/>
      <c r="BJT64" s="166"/>
      <c r="BJU64" s="166"/>
      <c r="BJV64" s="166"/>
      <c r="BJW64" s="166"/>
      <c r="BJX64" s="166"/>
      <c r="BJY64" s="166"/>
      <c r="BJZ64" s="166"/>
      <c r="BKA64" s="166"/>
      <c r="BKB64" s="166"/>
      <c r="BKC64" s="166"/>
      <c r="BKD64" s="166"/>
      <c r="BKE64" s="166"/>
      <c r="BKF64" s="166"/>
      <c r="BKG64" s="166"/>
      <c r="BKH64" s="166"/>
      <c r="BKI64" s="166"/>
      <c r="BKJ64" s="166"/>
      <c r="BKK64" s="166"/>
      <c r="BKL64" s="166"/>
      <c r="BKM64" s="166"/>
      <c r="BKN64" s="166"/>
      <c r="BKO64" s="166"/>
      <c r="BKP64" s="166"/>
      <c r="BKQ64" s="166"/>
      <c r="BKR64" s="166"/>
      <c r="BKS64" s="166"/>
      <c r="BKT64" s="166"/>
      <c r="BKU64" s="166"/>
      <c r="BKV64" s="166"/>
      <c r="BKW64" s="166"/>
      <c r="BKX64" s="166"/>
      <c r="BKY64" s="166"/>
      <c r="BKZ64" s="166"/>
      <c r="BLA64" s="166"/>
      <c r="BLB64" s="166"/>
      <c r="BLC64" s="166"/>
      <c r="BLD64" s="166"/>
      <c r="BLE64" s="166"/>
      <c r="BLF64" s="166"/>
      <c r="BLG64" s="166"/>
      <c r="BLH64" s="166"/>
      <c r="BLI64" s="166"/>
      <c r="BLJ64" s="166"/>
      <c r="BLK64" s="166"/>
      <c r="BLL64" s="166"/>
      <c r="BLM64" s="166"/>
      <c r="BLN64" s="166"/>
      <c r="BLO64" s="166"/>
      <c r="BLP64" s="166"/>
      <c r="BLQ64" s="166"/>
      <c r="BLR64" s="166"/>
      <c r="BLS64" s="166"/>
      <c r="BLT64" s="166"/>
      <c r="BLU64" s="166"/>
      <c r="BLV64" s="166"/>
      <c r="BLW64" s="166"/>
      <c r="BLX64" s="166"/>
      <c r="BLY64" s="166"/>
      <c r="BLZ64" s="166"/>
      <c r="BMA64" s="166"/>
      <c r="BMB64" s="166"/>
      <c r="BMC64" s="166"/>
      <c r="BMD64" s="166"/>
      <c r="BME64" s="166"/>
      <c r="BMF64" s="166"/>
      <c r="BMG64" s="166"/>
      <c r="BMH64" s="166"/>
      <c r="BMI64" s="166"/>
      <c r="BMJ64" s="166"/>
      <c r="BMK64" s="166"/>
      <c r="BML64" s="166"/>
      <c r="BMM64" s="166"/>
      <c r="BMN64" s="166"/>
      <c r="BMO64" s="166"/>
      <c r="BMP64" s="166"/>
      <c r="BMQ64" s="166"/>
      <c r="BMR64" s="166"/>
      <c r="BMS64" s="166"/>
      <c r="BMT64" s="166"/>
      <c r="BMU64" s="166"/>
      <c r="BMV64" s="166"/>
      <c r="BMW64" s="166"/>
      <c r="BMX64" s="166"/>
      <c r="BMY64" s="166"/>
      <c r="BMZ64" s="166"/>
      <c r="BNA64" s="166"/>
      <c r="BNB64" s="166"/>
      <c r="BNC64" s="166"/>
      <c r="BND64" s="166"/>
      <c r="BNE64" s="166"/>
      <c r="BNF64" s="166"/>
      <c r="BNG64" s="166"/>
      <c r="BNH64" s="166"/>
      <c r="BNI64" s="166"/>
      <c r="BNJ64" s="166"/>
      <c r="BNK64" s="166"/>
      <c r="BNL64" s="166"/>
      <c r="BNM64" s="166"/>
      <c r="BNN64" s="166"/>
      <c r="BNO64" s="166"/>
      <c r="BNP64" s="166"/>
      <c r="BNQ64" s="166"/>
      <c r="BNR64" s="166"/>
      <c r="BNS64" s="166"/>
      <c r="BNT64" s="166"/>
      <c r="BNU64" s="166"/>
      <c r="BNV64" s="166"/>
      <c r="BNW64" s="166"/>
      <c r="BNX64" s="166"/>
      <c r="BNY64" s="166"/>
      <c r="BNZ64" s="166"/>
      <c r="BOA64" s="166"/>
      <c r="BOB64" s="166"/>
      <c r="BOC64" s="166"/>
      <c r="BOD64" s="166"/>
      <c r="BOE64" s="166"/>
      <c r="BOF64" s="166"/>
      <c r="BOG64" s="166"/>
      <c r="BOH64" s="166"/>
      <c r="BOI64" s="166"/>
      <c r="BOJ64" s="166"/>
      <c r="BOK64" s="166"/>
      <c r="BOL64" s="166"/>
      <c r="BOM64" s="166"/>
      <c r="BON64" s="166"/>
      <c r="BOO64" s="166"/>
      <c r="BOP64" s="166"/>
      <c r="BOQ64" s="166"/>
      <c r="BOR64" s="166"/>
      <c r="BOS64" s="166"/>
      <c r="BOT64" s="166"/>
      <c r="BOU64" s="166"/>
      <c r="BOV64" s="166"/>
      <c r="BOW64" s="166"/>
      <c r="BOX64" s="166"/>
      <c r="BOY64" s="166"/>
      <c r="BOZ64" s="166"/>
      <c r="BPA64" s="166"/>
      <c r="BPB64" s="166"/>
      <c r="BPC64" s="166"/>
      <c r="BPD64" s="166"/>
      <c r="BPE64" s="166"/>
      <c r="BPF64" s="166"/>
      <c r="BPG64" s="166"/>
      <c r="BPH64" s="166"/>
      <c r="BPI64" s="166"/>
      <c r="BPJ64" s="166"/>
      <c r="BPK64" s="166"/>
      <c r="BPL64" s="166"/>
      <c r="BPM64" s="166"/>
      <c r="BPN64" s="166"/>
      <c r="BPO64" s="166"/>
      <c r="BPP64" s="166"/>
      <c r="BPQ64" s="166"/>
      <c r="BPR64" s="166"/>
      <c r="BPS64" s="166"/>
      <c r="BPT64" s="166"/>
      <c r="BPU64" s="166"/>
      <c r="BPV64" s="166"/>
      <c r="BPW64" s="166"/>
      <c r="BPX64" s="166"/>
      <c r="BPY64" s="166"/>
      <c r="BPZ64" s="166"/>
      <c r="BQA64" s="166"/>
      <c r="BQB64" s="166"/>
      <c r="BQC64" s="166"/>
      <c r="BQD64" s="166"/>
      <c r="BQE64" s="166"/>
      <c r="BQF64" s="166"/>
      <c r="BQG64" s="166"/>
      <c r="BQH64" s="166"/>
      <c r="BQI64" s="166"/>
      <c r="BQJ64" s="166"/>
      <c r="BQK64" s="166"/>
      <c r="BQL64" s="166"/>
      <c r="BQM64" s="166"/>
      <c r="BQN64" s="166"/>
      <c r="BQO64" s="166"/>
      <c r="BQP64" s="166"/>
      <c r="BQQ64" s="166"/>
      <c r="BQR64" s="166"/>
      <c r="BQS64" s="166"/>
      <c r="BQT64" s="166"/>
      <c r="BQU64" s="166"/>
      <c r="BQV64" s="166"/>
      <c r="BQW64" s="166"/>
      <c r="BQX64" s="166"/>
      <c r="BQY64" s="166"/>
      <c r="BQZ64" s="166"/>
      <c r="BRA64" s="166"/>
      <c r="BRB64" s="166"/>
      <c r="BRC64" s="166"/>
      <c r="BRD64" s="166"/>
      <c r="BRE64" s="166"/>
      <c r="BRF64" s="166"/>
      <c r="BRG64" s="166"/>
      <c r="BRH64" s="166"/>
      <c r="BRI64" s="166"/>
      <c r="BRJ64" s="166"/>
      <c r="BRK64" s="166"/>
      <c r="BRL64" s="166"/>
      <c r="BRM64" s="166"/>
      <c r="BRN64" s="166"/>
      <c r="BRO64" s="166"/>
      <c r="BRP64" s="166"/>
      <c r="BRQ64" s="166"/>
      <c r="BRR64" s="166"/>
      <c r="BRS64" s="166"/>
      <c r="BRT64" s="166"/>
      <c r="BRU64" s="166"/>
      <c r="BRV64" s="166"/>
      <c r="BRW64" s="166"/>
      <c r="BRX64" s="166"/>
      <c r="BRY64" s="166"/>
      <c r="BRZ64" s="166"/>
      <c r="BSA64" s="166"/>
      <c r="BSB64" s="166"/>
      <c r="BSC64" s="166"/>
      <c r="BSD64" s="166"/>
      <c r="BSE64" s="166"/>
      <c r="BSF64" s="166"/>
      <c r="BSG64" s="166"/>
      <c r="BSH64" s="166"/>
      <c r="BSI64" s="166"/>
      <c r="BSJ64" s="166"/>
      <c r="BSK64" s="166"/>
      <c r="BSL64" s="166"/>
      <c r="BSM64" s="166"/>
      <c r="BSN64" s="166"/>
      <c r="BSO64" s="166"/>
      <c r="BSP64" s="166"/>
      <c r="BSQ64" s="166"/>
      <c r="BSR64" s="166"/>
      <c r="BSS64" s="166"/>
    </row>
    <row r="65" spans="1:1865" ht="20.100000000000001" customHeight="1" x14ac:dyDescent="0.25">
      <c r="A65" s="100" t="s">
        <v>20</v>
      </c>
      <c r="B65" s="63"/>
      <c r="C65" s="207"/>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165"/>
      <c r="BHG65" s="166"/>
      <c r="BHH65" s="166"/>
      <c r="BHI65" s="166"/>
      <c r="BHJ65" s="166"/>
      <c r="BHK65" s="166"/>
      <c r="BHL65" s="166"/>
      <c r="BHM65" s="166"/>
      <c r="BHN65" s="166"/>
      <c r="BHO65" s="166"/>
      <c r="BHP65" s="166"/>
      <c r="BHQ65" s="166"/>
      <c r="BHR65" s="166"/>
      <c r="BHS65" s="166"/>
      <c r="BHT65" s="166"/>
      <c r="BHU65" s="166"/>
      <c r="BHV65" s="166"/>
      <c r="BHW65" s="166"/>
      <c r="BHX65" s="166"/>
      <c r="BHY65" s="166"/>
      <c r="BHZ65" s="166"/>
      <c r="BIA65" s="166"/>
      <c r="BIB65" s="166"/>
      <c r="BIC65" s="166"/>
      <c r="BID65" s="166"/>
      <c r="BIE65" s="166"/>
      <c r="BIF65" s="166"/>
      <c r="BIG65" s="166"/>
      <c r="BIH65" s="166"/>
      <c r="BII65" s="166"/>
      <c r="BIJ65" s="166"/>
      <c r="BIK65" s="166"/>
      <c r="BIL65" s="166"/>
      <c r="BIM65" s="166"/>
      <c r="BIN65" s="166"/>
      <c r="BIO65" s="166"/>
      <c r="BIP65" s="166"/>
      <c r="BIQ65" s="166"/>
      <c r="BIR65" s="166"/>
      <c r="BIS65" s="166"/>
      <c r="BIT65" s="166"/>
      <c r="BIU65" s="166"/>
      <c r="BIV65" s="166"/>
      <c r="BIW65" s="166"/>
      <c r="BIX65" s="166"/>
      <c r="BIY65" s="166"/>
      <c r="BIZ65" s="166"/>
      <c r="BJA65" s="166"/>
      <c r="BJB65" s="166"/>
      <c r="BJC65" s="166"/>
      <c r="BJD65" s="166"/>
      <c r="BJE65" s="166"/>
      <c r="BJF65" s="166"/>
      <c r="BJG65" s="166"/>
      <c r="BJH65" s="166"/>
      <c r="BJI65" s="166"/>
      <c r="BJJ65" s="166"/>
      <c r="BJK65" s="166"/>
      <c r="BJL65" s="166"/>
      <c r="BJM65" s="166"/>
      <c r="BJN65" s="166"/>
      <c r="BJO65" s="166"/>
      <c r="BJP65" s="166"/>
      <c r="BJQ65" s="166"/>
      <c r="BJR65" s="166"/>
      <c r="BJS65" s="166"/>
      <c r="BJT65" s="166"/>
      <c r="BJU65" s="166"/>
      <c r="BJV65" s="166"/>
      <c r="BJW65" s="166"/>
      <c r="BJX65" s="166"/>
      <c r="BJY65" s="166"/>
      <c r="BJZ65" s="166"/>
      <c r="BKA65" s="166"/>
      <c r="BKB65" s="166"/>
      <c r="BKC65" s="166"/>
      <c r="BKD65" s="166"/>
      <c r="BKE65" s="166"/>
      <c r="BKF65" s="166"/>
      <c r="BKG65" s="166"/>
      <c r="BKH65" s="166"/>
      <c r="BKI65" s="166"/>
      <c r="BKJ65" s="166"/>
      <c r="BKK65" s="166"/>
      <c r="BKL65" s="166"/>
      <c r="BKM65" s="166"/>
      <c r="BKN65" s="166"/>
      <c r="BKO65" s="166"/>
      <c r="BKP65" s="166"/>
      <c r="BKQ65" s="166"/>
      <c r="BKR65" s="166"/>
      <c r="BKS65" s="166"/>
      <c r="BKT65" s="166"/>
      <c r="BKU65" s="166"/>
      <c r="BKV65" s="166"/>
      <c r="BKW65" s="166"/>
      <c r="BKX65" s="166"/>
      <c r="BKY65" s="166"/>
      <c r="BKZ65" s="166"/>
      <c r="BLA65" s="166"/>
      <c r="BLB65" s="166"/>
      <c r="BLC65" s="166"/>
      <c r="BLD65" s="166"/>
      <c r="BLE65" s="166"/>
      <c r="BLF65" s="166"/>
      <c r="BLG65" s="166"/>
      <c r="BLH65" s="166"/>
      <c r="BLI65" s="166"/>
      <c r="BLJ65" s="166"/>
      <c r="BLK65" s="166"/>
      <c r="BLL65" s="166"/>
      <c r="BLM65" s="166"/>
      <c r="BLN65" s="166"/>
      <c r="BLO65" s="166"/>
      <c r="BLP65" s="166"/>
      <c r="BLQ65" s="166"/>
      <c r="BLR65" s="166"/>
      <c r="BLS65" s="166"/>
      <c r="BLT65" s="166"/>
      <c r="BLU65" s="166"/>
      <c r="BLV65" s="166"/>
      <c r="BLW65" s="166"/>
      <c r="BLX65" s="166"/>
      <c r="BLY65" s="166"/>
      <c r="BLZ65" s="166"/>
      <c r="BMA65" s="166"/>
      <c r="BMB65" s="166"/>
      <c r="BMC65" s="166"/>
      <c r="BMD65" s="166"/>
      <c r="BME65" s="166"/>
      <c r="BMF65" s="166"/>
      <c r="BMG65" s="166"/>
      <c r="BMH65" s="166"/>
      <c r="BMI65" s="166"/>
      <c r="BMJ65" s="166"/>
      <c r="BMK65" s="166"/>
      <c r="BML65" s="166"/>
      <c r="BMM65" s="166"/>
      <c r="BMN65" s="166"/>
      <c r="BMO65" s="166"/>
      <c r="BMP65" s="166"/>
      <c r="BMQ65" s="166"/>
      <c r="BMR65" s="166"/>
      <c r="BMS65" s="166"/>
      <c r="BMT65" s="166"/>
      <c r="BMU65" s="166"/>
      <c r="BMV65" s="166"/>
      <c r="BMW65" s="166"/>
      <c r="BMX65" s="166"/>
      <c r="BMY65" s="166"/>
      <c r="BMZ65" s="166"/>
      <c r="BNA65" s="166"/>
      <c r="BNB65" s="166"/>
      <c r="BNC65" s="166"/>
      <c r="BND65" s="166"/>
      <c r="BNE65" s="166"/>
      <c r="BNF65" s="166"/>
      <c r="BNG65" s="166"/>
      <c r="BNH65" s="166"/>
      <c r="BNI65" s="166"/>
      <c r="BNJ65" s="166"/>
      <c r="BNK65" s="166"/>
      <c r="BNL65" s="166"/>
      <c r="BNM65" s="166"/>
      <c r="BNN65" s="166"/>
      <c r="BNO65" s="166"/>
      <c r="BNP65" s="166"/>
      <c r="BNQ65" s="166"/>
      <c r="BNR65" s="166"/>
      <c r="BNS65" s="166"/>
      <c r="BNT65" s="166"/>
      <c r="BNU65" s="166"/>
      <c r="BNV65" s="166"/>
      <c r="BNW65" s="166"/>
      <c r="BNX65" s="166"/>
      <c r="BNY65" s="166"/>
      <c r="BNZ65" s="166"/>
      <c r="BOA65" s="166"/>
      <c r="BOB65" s="166"/>
      <c r="BOC65" s="166"/>
      <c r="BOD65" s="166"/>
      <c r="BOE65" s="166"/>
      <c r="BOF65" s="166"/>
      <c r="BOG65" s="166"/>
      <c r="BOH65" s="166"/>
      <c r="BOI65" s="166"/>
      <c r="BOJ65" s="166"/>
      <c r="BOK65" s="166"/>
      <c r="BOL65" s="166"/>
      <c r="BOM65" s="166"/>
      <c r="BON65" s="166"/>
      <c r="BOO65" s="166"/>
      <c r="BOP65" s="166"/>
      <c r="BOQ65" s="166"/>
      <c r="BOR65" s="166"/>
      <c r="BOS65" s="166"/>
      <c r="BOT65" s="166"/>
      <c r="BOU65" s="166"/>
      <c r="BOV65" s="166"/>
      <c r="BOW65" s="166"/>
      <c r="BOX65" s="166"/>
      <c r="BOY65" s="166"/>
      <c r="BOZ65" s="166"/>
      <c r="BPA65" s="166"/>
      <c r="BPB65" s="166"/>
      <c r="BPC65" s="166"/>
      <c r="BPD65" s="166"/>
      <c r="BPE65" s="166"/>
      <c r="BPF65" s="166"/>
      <c r="BPG65" s="166"/>
      <c r="BPH65" s="166"/>
      <c r="BPI65" s="166"/>
      <c r="BPJ65" s="166"/>
      <c r="BPK65" s="166"/>
      <c r="BPL65" s="166"/>
      <c r="BPM65" s="166"/>
      <c r="BPN65" s="166"/>
      <c r="BPO65" s="166"/>
      <c r="BPP65" s="166"/>
      <c r="BPQ65" s="166"/>
      <c r="BPR65" s="166"/>
      <c r="BPS65" s="166"/>
      <c r="BPT65" s="166"/>
      <c r="BPU65" s="166"/>
      <c r="BPV65" s="166"/>
      <c r="BPW65" s="166"/>
      <c r="BPX65" s="166"/>
      <c r="BPY65" s="166"/>
      <c r="BPZ65" s="166"/>
      <c r="BQA65" s="166"/>
      <c r="BQB65" s="166"/>
      <c r="BQC65" s="166"/>
      <c r="BQD65" s="166"/>
      <c r="BQE65" s="166"/>
      <c r="BQF65" s="166"/>
      <c r="BQG65" s="166"/>
      <c r="BQH65" s="166"/>
      <c r="BQI65" s="166"/>
      <c r="BQJ65" s="166"/>
      <c r="BQK65" s="166"/>
      <c r="BQL65" s="166"/>
      <c r="BQM65" s="166"/>
      <c r="BQN65" s="166"/>
      <c r="BQO65" s="166"/>
      <c r="BQP65" s="166"/>
      <c r="BQQ65" s="166"/>
      <c r="BQR65" s="166"/>
      <c r="BQS65" s="166"/>
      <c r="BQT65" s="166"/>
      <c r="BQU65" s="166"/>
      <c r="BQV65" s="166"/>
      <c r="BQW65" s="166"/>
      <c r="BQX65" s="166"/>
      <c r="BQY65" s="166"/>
      <c r="BQZ65" s="166"/>
      <c r="BRA65" s="166"/>
      <c r="BRB65" s="166"/>
      <c r="BRC65" s="166"/>
      <c r="BRD65" s="166"/>
      <c r="BRE65" s="166"/>
      <c r="BRF65" s="166"/>
      <c r="BRG65" s="166"/>
      <c r="BRH65" s="166"/>
      <c r="BRI65" s="166"/>
      <c r="BRJ65" s="166"/>
      <c r="BRK65" s="166"/>
      <c r="BRL65" s="166"/>
      <c r="BRM65" s="166"/>
      <c r="BRN65" s="166"/>
      <c r="BRO65" s="166"/>
      <c r="BRP65" s="166"/>
      <c r="BRQ65" s="166"/>
      <c r="BRR65" s="166"/>
      <c r="BRS65" s="166"/>
      <c r="BRT65" s="166"/>
      <c r="BRU65" s="166"/>
      <c r="BRV65" s="166"/>
      <c r="BRW65" s="166"/>
      <c r="BRX65" s="166"/>
      <c r="BRY65" s="166"/>
      <c r="BRZ65" s="166"/>
      <c r="BSA65" s="166"/>
      <c r="BSB65" s="166"/>
      <c r="BSC65" s="166"/>
      <c r="BSD65" s="166"/>
      <c r="BSE65" s="166"/>
      <c r="BSF65" s="166"/>
      <c r="BSG65" s="166"/>
      <c r="BSH65" s="166"/>
      <c r="BSI65" s="166"/>
      <c r="BSJ65" s="166"/>
      <c r="BSK65" s="166"/>
      <c r="BSL65" s="166"/>
      <c r="BSM65" s="166"/>
      <c r="BSN65" s="166"/>
      <c r="BSO65" s="166"/>
      <c r="BSP65" s="166"/>
      <c r="BSQ65" s="166"/>
      <c r="BSR65" s="166"/>
      <c r="BSS65" s="166"/>
    </row>
    <row r="66" spans="1:1865" ht="20.100000000000001" customHeight="1" x14ac:dyDescent="0.3">
      <c r="A66" s="100" t="s">
        <v>21</v>
      </c>
      <c r="B66" s="63"/>
      <c r="C66" s="218"/>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165"/>
      <c r="BHG66" s="166"/>
      <c r="BHH66" s="166"/>
      <c r="BHI66" s="166"/>
      <c r="BHJ66" s="166"/>
      <c r="BHK66" s="166"/>
      <c r="BHL66" s="166"/>
      <c r="BHM66" s="166"/>
      <c r="BHN66" s="166"/>
      <c r="BHO66" s="166"/>
      <c r="BHP66" s="166"/>
      <c r="BHQ66" s="166"/>
      <c r="BHR66" s="166"/>
      <c r="BHS66" s="166"/>
      <c r="BHT66" s="166"/>
      <c r="BHU66" s="166"/>
      <c r="BHV66" s="166"/>
      <c r="BHW66" s="166"/>
      <c r="BHX66" s="166"/>
      <c r="BHY66" s="166"/>
      <c r="BHZ66" s="166"/>
      <c r="BIA66" s="166"/>
      <c r="BIB66" s="166"/>
      <c r="BIC66" s="166"/>
      <c r="BID66" s="166"/>
      <c r="BIE66" s="166"/>
      <c r="BIF66" s="166"/>
      <c r="BIG66" s="166"/>
      <c r="BIH66" s="166"/>
      <c r="BII66" s="166"/>
      <c r="BIJ66" s="166"/>
      <c r="BIK66" s="166"/>
      <c r="BIL66" s="166"/>
      <c r="BIM66" s="166"/>
      <c r="BIN66" s="166"/>
      <c r="BIO66" s="166"/>
      <c r="BIP66" s="166"/>
      <c r="BIQ66" s="166"/>
      <c r="BIR66" s="166"/>
      <c r="BIS66" s="166"/>
      <c r="BIT66" s="166"/>
      <c r="BIU66" s="166"/>
      <c r="BIV66" s="166"/>
      <c r="BIW66" s="166"/>
      <c r="BIX66" s="166"/>
      <c r="BIY66" s="166"/>
      <c r="BIZ66" s="166"/>
      <c r="BJA66" s="166"/>
      <c r="BJB66" s="166"/>
      <c r="BJC66" s="166"/>
      <c r="BJD66" s="166"/>
      <c r="BJE66" s="166"/>
      <c r="BJF66" s="166"/>
      <c r="BJG66" s="166"/>
      <c r="BJH66" s="166"/>
      <c r="BJI66" s="166"/>
      <c r="BJJ66" s="166"/>
      <c r="BJK66" s="166"/>
      <c r="BJL66" s="166"/>
      <c r="BJM66" s="166"/>
      <c r="BJN66" s="166"/>
      <c r="BJO66" s="166"/>
      <c r="BJP66" s="166"/>
      <c r="BJQ66" s="166"/>
      <c r="BJR66" s="166"/>
      <c r="BJS66" s="166"/>
      <c r="BJT66" s="166"/>
      <c r="BJU66" s="166"/>
      <c r="BJV66" s="166"/>
      <c r="BJW66" s="166"/>
      <c r="BJX66" s="166"/>
      <c r="BJY66" s="166"/>
      <c r="BJZ66" s="166"/>
      <c r="BKA66" s="166"/>
      <c r="BKB66" s="166"/>
      <c r="BKC66" s="166"/>
      <c r="BKD66" s="166"/>
      <c r="BKE66" s="166"/>
      <c r="BKF66" s="166"/>
      <c r="BKG66" s="166"/>
      <c r="BKH66" s="166"/>
      <c r="BKI66" s="166"/>
      <c r="BKJ66" s="166"/>
      <c r="BKK66" s="166"/>
      <c r="BKL66" s="166"/>
      <c r="BKM66" s="166"/>
      <c r="BKN66" s="166"/>
      <c r="BKO66" s="166"/>
      <c r="BKP66" s="166"/>
      <c r="BKQ66" s="166"/>
      <c r="BKR66" s="166"/>
      <c r="BKS66" s="166"/>
      <c r="BKT66" s="166"/>
      <c r="BKU66" s="166"/>
      <c r="BKV66" s="166"/>
      <c r="BKW66" s="166"/>
      <c r="BKX66" s="166"/>
      <c r="BKY66" s="166"/>
      <c r="BKZ66" s="166"/>
      <c r="BLA66" s="166"/>
      <c r="BLB66" s="166"/>
      <c r="BLC66" s="166"/>
      <c r="BLD66" s="166"/>
      <c r="BLE66" s="166"/>
      <c r="BLF66" s="166"/>
      <c r="BLG66" s="166"/>
      <c r="BLH66" s="166"/>
      <c r="BLI66" s="166"/>
      <c r="BLJ66" s="166"/>
      <c r="BLK66" s="166"/>
      <c r="BLL66" s="166"/>
      <c r="BLM66" s="166"/>
      <c r="BLN66" s="166"/>
      <c r="BLO66" s="166"/>
      <c r="BLP66" s="166"/>
      <c r="BLQ66" s="166"/>
      <c r="BLR66" s="166"/>
      <c r="BLS66" s="166"/>
      <c r="BLT66" s="166"/>
      <c r="BLU66" s="166"/>
      <c r="BLV66" s="166"/>
      <c r="BLW66" s="166"/>
      <c r="BLX66" s="166"/>
      <c r="BLY66" s="166"/>
      <c r="BLZ66" s="166"/>
      <c r="BMA66" s="166"/>
      <c r="BMB66" s="166"/>
      <c r="BMC66" s="166"/>
      <c r="BMD66" s="166"/>
      <c r="BME66" s="166"/>
      <c r="BMF66" s="166"/>
      <c r="BMG66" s="166"/>
      <c r="BMH66" s="166"/>
      <c r="BMI66" s="166"/>
      <c r="BMJ66" s="166"/>
      <c r="BMK66" s="166"/>
      <c r="BML66" s="166"/>
      <c r="BMM66" s="166"/>
      <c r="BMN66" s="166"/>
      <c r="BMO66" s="166"/>
      <c r="BMP66" s="166"/>
      <c r="BMQ66" s="166"/>
      <c r="BMR66" s="166"/>
      <c r="BMS66" s="166"/>
      <c r="BMT66" s="166"/>
      <c r="BMU66" s="166"/>
      <c r="BMV66" s="166"/>
      <c r="BMW66" s="166"/>
      <c r="BMX66" s="166"/>
      <c r="BMY66" s="166"/>
      <c r="BMZ66" s="166"/>
      <c r="BNA66" s="166"/>
      <c r="BNB66" s="166"/>
      <c r="BNC66" s="166"/>
      <c r="BND66" s="166"/>
      <c r="BNE66" s="166"/>
      <c r="BNF66" s="166"/>
      <c r="BNG66" s="166"/>
      <c r="BNH66" s="166"/>
      <c r="BNI66" s="166"/>
      <c r="BNJ66" s="166"/>
      <c r="BNK66" s="166"/>
      <c r="BNL66" s="166"/>
      <c r="BNM66" s="166"/>
      <c r="BNN66" s="166"/>
      <c r="BNO66" s="166"/>
      <c r="BNP66" s="166"/>
      <c r="BNQ66" s="166"/>
      <c r="BNR66" s="166"/>
      <c r="BNS66" s="166"/>
      <c r="BNT66" s="166"/>
      <c r="BNU66" s="166"/>
      <c r="BNV66" s="166"/>
      <c r="BNW66" s="166"/>
      <c r="BNX66" s="166"/>
      <c r="BNY66" s="166"/>
      <c r="BNZ66" s="166"/>
      <c r="BOA66" s="166"/>
      <c r="BOB66" s="166"/>
      <c r="BOC66" s="166"/>
      <c r="BOD66" s="166"/>
      <c r="BOE66" s="166"/>
      <c r="BOF66" s="166"/>
      <c r="BOG66" s="166"/>
      <c r="BOH66" s="166"/>
      <c r="BOI66" s="166"/>
      <c r="BOJ66" s="166"/>
      <c r="BOK66" s="166"/>
      <c r="BOL66" s="166"/>
      <c r="BOM66" s="166"/>
      <c r="BON66" s="166"/>
      <c r="BOO66" s="166"/>
      <c r="BOP66" s="166"/>
      <c r="BOQ66" s="166"/>
      <c r="BOR66" s="166"/>
      <c r="BOS66" s="166"/>
      <c r="BOT66" s="166"/>
      <c r="BOU66" s="166"/>
      <c r="BOV66" s="166"/>
      <c r="BOW66" s="166"/>
      <c r="BOX66" s="166"/>
      <c r="BOY66" s="166"/>
      <c r="BOZ66" s="166"/>
      <c r="BPA66" s="166"/>
      <c r="BPB66" s="166"/>
      <c r="BPC66" s="166"/>
      <c r="BPD66" s="166"/>
      <c r="BPE66" s="166"/>
      <c r="BPF66" s="166"/>
      <c r="BPG66" s="166"/>
      <c r="BPH66" s="166"/>
      <c r="BPI66" s="166"/>
      <c r="BPJ66" s="166"/>
      <c r="BPK66" s="166"/>
      <c r="BPL66" s="166"/>
      <c r="BPM66" s="166"/>
      <c r="BPN66" s="166"/>
      <c r="BPO66" s="166"/>
      <c r="BPP66" s="166"/>
      <c r="BPQ66" s="166"/>
      <c r="BPR66" s="166"/>
      <c r="BPS66" s="166"/>
      <c r="BPT66" s="166"/>
      <c r="BPU66" s="166"/>
      <c r="BPV66" s="166"/>
      <c r="BPW66" s="166"/>
      <c r="BPX66" s="166"/>
      <c r="BPY66" s="166"/>
      <c r="BPZ66" s="166"/>
      <c r="BQA66" s="166"/>
      <c r="BQB66" s="166"/>
      <c r="BQC66" s="166"/>
      <c r="BQD66" s="166"/>
      <c r="BQE66" s="166"/>
      <c r="BQF66" s="166"/>
      <c r="BQG66" s="166"/>
      <c r="BQH66" s="166"/>
      <c r="BQI66" s="166"/>
      <c r="BQJ66" s="166"/>
      <c r="BQK66" s="166"/>
      <c r="BQL66" s="166"/>
      <c r="BQM66" s="166"/>
      <c r="BQN66" s="166"/>
      <c r="BQO66" s="166"/>
      <c r="BQP66" s="166"/>
      <c r="BQQ66" s="166"/>
      <c r="BQR66" s="166"/>
      <c r="BQS66" s="166"/>
      <c r="BQT66" s="166"/>
      <c r="BQU66" s="166"/>
      <c r="BQV66" s="166"/>
      <c r="BQW66" s="166"/>
      <c r="BQX66" s="166"/>
      <c r="BQY66" s="166"/>
      <c r="BQZ66" s="166"/>
      <c r="BRA66" s="166"/>
      <c r="BRB66" s="166"/>
      <c r="BRC66" s="166"/>
      <c r="BRD66" s="166"/>
      <c r="BRE66" s="166"/>
      <c r="BRF66" s="166"/>
      <c r="BRG66" s="166"/>
      <c r="BRH66" s="166"/>
      <c r="BRI66" s="166"/>
      <c r="BRJ66" s="166"/>
      <c r="BRK66" s="166"/>
      <c r="BRL66" s="166"/>
      <c r="BRM66" s="166"/>
      <c r="BRN66" s="166"/>
      <c r="BRO66" s="166"/>
      <c r="BRP66" s="166"/>
      <c r="BRQ66" s="166"/>
      <c r="BRR66" s="166"/>
      <c r="BRS66" s="166"/>
      <c r="BRT66" s="166"/>
      <c r="BRU66" s="166"/>
      <c r="BRV66" s="166"/>
      <c r="BRW66" s="166"/>
      <c r="BRX66" s="166"/>
      <c r="BRY66" s="166"/>
      <c r="BRZ66" s="166"/>
      <c r="BSA66" s="166"/>
      <c r="BSB66" s="166"/>
      <c r="BSC66" s="166"/>
      <c r="BSD66" s="166"/>
      <c r="BSE66" s="166"/>
      <c r="BSF66" s="166"/>
      <c r="BSG66" s="166"/>
      <c r="BSH66" s="166"/>
      <c r="BSI66" s="166"/>
      <c r="BSJ66" s="166"/>
      <c r="BSK66" s="166"/>
      <c r="BSL66" s="166"/>
      <c r="BSM66" s="166"/>
      <c r="BSN66" s="166"/>
      <c r="BSO66" s="166"/>
      <c r="BSP66" s="166"/>
      <c r="BSQ66" s="166"/>
      <c r="BSR66" s="166"/>
      <c r="BSS66" s="166"/>
    </row>
    <row r="67" spans="1:1865" ht="20.100000000000001" customHeight="1" x14ac:dyDescent="0.25">
      <c r="A67" s="100" t="s">
        <v>20</v>
      </c>
      <c r="B67" s="63"/>
      <c r="C67" s="207"/>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165"/>
      <c r="BHG67" s="166"/>
      <c r="BHH67" s="166"/>
      <c r="BHI67" s="166"/>
      <c r="BHJ67" s="166"/>
      <c r="BHK67" s="166"/>
      <c r="BHL67" s="166"/>
      <c r="BHM67" s="166"/>
      <c r="BHN67" s="166"/>
      <c r="BHO67" s="166"/>
      <c r="BHP67" s="166"/>
      <c r="BHQ67" s="166"/>
      <c r="BHR67" s="166"/>
      <c r="BHS67" s="166"/>
      <c r="BHT67" s="166"/>
      <c r="BHU67" s="166"/>
      <c r="BHV67" s="166"/>
      <c r="BHW67" s="166"/>
      <c r="BHX67" s="166"/>
      <c r="BHY67" s="166"/>
      <c r="BHZ67" s="166"/>
      <c r="BIA67" s="166"/>
      <c r="BIB67" s="166"/>
      <c r="BIC67" s="166"/>
      <c r="BID67" s="166"/>
      <c r="BIE67" s="166"/>
      <c r="BIF67" s="166"/>
      <c r="BIG67" s="166"/>
      <c r="BIH67" s="166"/>
      <c r="BII67" s="166"/>
      <c r="BIJ67" s="166"/>
      <c r="BIK67" s="166"/>
      <c r="BIL67" s="166"/>
      <c r="BIM67" s="166"/>
      <c r="BIN67" s="166"/>
      <c r="BIO67" s="166"/>
      <c r="BIP67" s="166"/>
      <c r="BIQ67" s="166"/>
      <c r="BIR67" s="166"/>
      <c r="BIS67" s="166"/>
      <c r="BIT67" s="166"/>
      <c r="BIU67" s="166"/>
      <c r="BIV67" s="166"/>
      <c r="BIW67" s="166"/>
      <c r="BIX67" s="166"/>
      <c r="BIY67" s="166"/>
      <c r="BIZ67" s="166"/>
      <c r="BJA67" s="166"/>
      <c r="BJB67" s="166"/>
      <c r="BJC67" s="166"/>
      <c r="BJD67" s="166"/>
      <c r="BJE67" s="166"/>
      <c r="BJF67" s="166"/>
      <c r="BJG67" s="166"/>
      <c r="BJH67" s="166"/>
      <c r="BJI67" s="166"/>
      <c r="BJJ67" s="166"/>
      <c r="BJK67" s="166"/>
      <c r="BJL67" s="166"/>
      <c r="BJM67" s="166"/>
      <c r="BJN67" s="166"/>
      <c r="BJO67" s="166"/>
      <c r="BJP67" s="166"/>
      <c r="BJQ67" s="166"/>
      <c r="BJR67" s="166"/>
      <c r="BJS67" s="166"/>
      <c r="BJT67" s="166"/>
      <c r="BJU67" s="166"/>
      <c r="BJV67" s="166"/>
      <c r="BJW67" s="166"/>
      <c r="BJX67" s="166"/>
      <c r="BJY67" s="166"/>
      <c r="BJZ67" s="166"/>
      <c r="BKA67" s="166"/>
      <c r="BKB67" s="166"/>
      <c r="BKC67" s="166"/>
      <c r="BKD67" s="166"/>
      <c r="BKE67" s="166"/>
      <c r="BKF67" s="166"/>
      <c r="BKG67" s="166"/>
      <c r="BKH67" s="166"/>
      <c r="BKI67" s="166"/>
      <c r="BKJ67" s="166"/>
      <c r="BKK67" s="166"/>
      <c r="BKL67" s="166"/>
      <c r="BKM67" s="166"/>
      <c r="BKN67" s="166"/>
      <c r="BKO67" s="166"/>
      <c r="BKP67" s="166"/>
      <c r="BKQ67" s="166"/>
      <c r="BKR67" s="166"/>
      <c r="BKS67" s="166"/>
      <c r="BKT67" s="166"/>
      <c r="BKU67" s="166"/>
      <c r="BKV67" s="166"/>
      <c r="BKW67" s="166"/>
      <c r="BKX67" s="166"/>
      <c r="BKY67" s="166"/>
      <c r="BKZ67" s="166"/>
      <c r="BLA67" s="166"/>
      <c r="BLB67" s="166"/>
      <c r="BLC67" s="166"/>
      <c r="BLD67" s="166"/>
      <c r="BLE67" s="166"/>
      <c r="BLF67" s="166"/>
      <c r="BLG67" s="166"/>
      <c r="BLH67" s="166"/>
      <c r="BLI67" s="166"/>
      <c r="BLJ67" s="166"/>
      <c r="BLK67" s="166"/>
      <c r="BLL67" s="166"/>
      <c r="BLM67" s="166"/>
      <c r="BLN67" s="166"/>
      <c r="BLO67" s="166"/>
      <c r="BLP67" s="166"/>
      <c r="BLQ67" s="166"/>
      <c r="BLR67" s="166"/>
      <c r="BLS67" s="166"/>
      <c r="BLT67" s="166"/>
      <c r="BLU67" s="166"/>
      <c r="BLV67" s="166"/>
      <c r="BLW67" s="166"/>
      <c r="BLX67" s="166"/>
      <c r="BLY67" s="166"/>
      <c r="BLZ67" s="166"/>
      <c r="BMA67" s="166"/>
      <c r="BMB67" s="166"/>
      <c r="BMC67" s="166"/>
      <c r="BMD67" s="166"/>
      <c r="BME67" s="166"/>
      <c r="BMF67" s="166"/>
      <c r="BMG67" s="166"/>
      <c r="BMH67" s="166"/>
      <c r="BMI67" s="166"/>
      <c r="BMJ67" s="166"/>
      <c r="BMK67" s="166"/>
      <c r="BML67" s="166"/>
      <c r="BMM67" s="166"/>
      <c r="BMN67" s="166"/>
      <c r="BMO67" s="166"/>
      <c r="BMP67" s="166"/>
      <c r="BMQ67" s="166"/>
      <c r="BMR67" s="166"/>
      <c r="BMS67" s="166"/>
      <c r="BMT67" s="166"/>
      <c r="BMU67" s="166"/>
      <c r="BMV67" s="166"/>
      <c r="BMW67" s="166"/>
      <c r="BMX67" s="166"/>
      <c r="BMY67" s="166"/>
      <c r="BMZ67" s="166"/>
      <c r="BNA67" s="166"/>
      <c r="BNB67" s="166"/>
      <c r="BNC67" s="166"/>
      <c r="BND67" s="166"/>
      <c r="BNE67" s="166"/>
      <c r="BNF67" s="166"/>
      <c r="BNG67" s="166"/>
      <c r="BNH67" s="166"/>
      <c r="BNI67" s="166"/>
      <c r="BNJ67" s="166"/>
      <c r="BNK67" s="166"/>
      <c r="BNL67" s="166"/>
      <c r="BNM67" s="166"/>
      <c r="BNN67" s="166"/>
      <c r="BNO67" s="166"/>
      <c r="BNP67" s="166"/>
      <c r="BNQ67" s="166"/>
      <c r="BNR67" s="166"/>
      <c r="BNS67" s="166"/>
      <c r="BNT67" s="166"/>
      <c r="BNU67" s="166"/>
      <c r="BNV67" s="166"/>
      <c r="BNW67" s="166"/>
      <c r="BNX67" s="166"/>
      <c r="BNY67" s="166"/>
      <c r="BNZ67" s="166"/>
      <c r="BOA67" s="166"/>
      <c r="BOB67" s="166"/>
      <c r="BOC67" s="166"/>
      <c r="BOD67" s="166"/>
      <c r="BOE67" s="166"/>
      <c r="BOF67" s="166"/>
      <c r="BOG67" s="166"/>
      <c r="BOH67" s="166"/>
      <c r="BOI67" s="166"/>
      <c r="BOJ67" s="166"/>
      <c r="BOK67" s="166"/>
      <c r="BOL67" s="166"/>
      <c r="BOM67" s="166"/>
      <c r="BON67" s="166"/>
      <c r="BOO67" s="166"/>
      <c r="BOP67" s="166"/>
      <c r="BOQ67" s="166"/>
      <c r="BOR67" s="166"/>
      <c r="BOS67" s="166"/>
      <c r="BOT67" s="166"/>
      <c r="BOU67" s="166"/>
      <c r="BOV67" s="166"/>
      <c r="BOW67" s="166"/>
      <c r="BOX67" s="166"/>
      <c r="BOY67" s="166"/>
      <c r="BOZ67" s="166"/>
      <c r="BPA67" s="166"/>
      <c r="BPB67" s="166"/>
      <c r="BPC67" s="166"/>
      <c r="BPD67" s="166"/>
      <c r="BPE67" s="166"/>
      <c r="BPF67" s="166"/>
      <c r="BPG67" s="166"/>
      <c r="BPH67" s="166"/>
      <c r="BPI67" s="166"/>
      <c r="BPJ67" s="166"/>
      <c r="BPK67" s="166"/>
      <c r="BPL67" s="166"/>
      <c r="BPM67" s="166"/>
      <c r="BPN67" s="166"/>
      <c r="BPO67" s="166"/>
      <c r="BPP67" s="166"/>
      <c r="BPQ67" s="166"/>
      <c r="BPR67" s="166"/>
      <c r="BPS67" s="166"/>
      <c r="BPT67" s="166"/>
      <c r="BPU67" s="166"/>
      <c r="BPV67" s="166"/>
      <c r="BPW67" s="166"/>
      <c r="BPX67" s="166"/>
      <c r="BPY67" s="166"/>
      <c r="BPZ67" s="166"/>
      <c r="BQA67" s="166"/>
      <c r="BQB67" s="166"/>
      <c r="BQC67" s="166"/>
      <c r="BQD67" s="166"/>
      <c r="BQE67" s="166"/>
      <c r="BQF67" s="166"/>
      <c r="BQG67" s="166"/>
      <c r="BQH67" s="166"/>
      <c r="BQI67" s="166"/>
      <c r="BQJ67" s="166"/>
      <c r="BQK67" s="166"/>
      <c r="BQL67" s="166"/>
      <c r="BQM67" s="166"/>
      <c r="BQN67" s="166"/>
      <c r="BQO67" s="166"/>
      <c r="BQP67" s="166"/>
      <c r="BQQ67" s="166"/>
      <c r="BQR67" s="166"/>
      <c r="BQS67" s="166"/>
      <c r="BQT67" s="166"/>
      <c r="BQU67" s="166"/>
      <c r="BQV67" s="166"/>
      <c r="BQW67" s="166"/>
      <c r="BQX67" s="166"/>
      <c r="BQY67" s="166"/>
      <c r="BQZ67" s="166"/>
      <c r="BRA67" s="166"/>
      <c r="BRB67" s="166"/>
      <c r="BRC67" s="166"/>
      <c r="BRD67" s="166"/>
      <c r="BRE67" s="166"/>
      <c r="BRF67" s="166"/>
      <c r="BRG67" s="166"/>
      <c r="BRH67" s="166"/>
      <c r="BRI67" s="166"/>
      <c r="BRJ67" s="166"/>
      <c r="BRK67" s="166"/>
      <c r="BRL67" s="166"/>
      <c r="BRM67" s="166"/>
      <c r="BRN67" s="166"/>
      <c r="BRO67" s="166"/>
      <c r="BRP67" s="166"/>
      <c r="BRQ67" s="166"/>
      <c r="BRR67" s="166"/>
      <c r="BRS67" s="166"/>
      <c r="BRT67" s="166"/>
      <c r="BRU67" s="166"/>
      <c r="BRV67" s="166"/>
      <c r="BRW67" s="166"/>
      <c r="BRX67" s="166"/>
      <c r="BRY67" s="166"/>
      <c r="BRZ67" s="166"/>
      <c r="BSA67" s="166"/>
      <c r="BSB67" s="166"/>
      <c r="BSC67" s="166"/>
      <c r="BSD67" s="166"/>
      <c r="BSE67" s="166"/>
      <c r="BSF67" s="166"/>
      <c r="BSG67" s="166"/>
      <c r="BSH67" s="166"/>
      <c r="BSI67" s="166"/>
      <c r="BSJ67" s="166"/>
      <c r="BSK67" s="166"/>
      <c r="BSL67" s="166"/>
      <c r="BSM67" s="166"/>
      <c r="BSN67" s="166"/>
      <c r="BSO67" s="166"/>
      <c r="BSP67" s="166"/>
      <c r="BSQ67" s="166"/>
      <c r="BSR67" s="166"/>
      <c r="BSS67" s="166"/>
    </row>
    <row r="68" spans="1:1865" ht="20.100000000000001" customHeight="1" x14ac:dyDescent="0.25">
      <c r="A68" s="100" t="s">
        <v>21</v>
      </c>
      <c r="B68" s="63"/>
      <c r="C68" s="208"/>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165"/>
      <c r="BHG68" s="166"/>
      <c r="BHH68" s="166"/>
      <c r="BHI68" s="166"/>
      <c r="BHJ68" s="166"/>
      <c r="BHK68" s="166"/>
      <c r="BHL68" s="166"/>
      <c r="BHM68" s="166"/>
      <c r="BHN68" s="166"/>
      <c r="BHO68" s="166"/>
      <c r="BHP68" s="166"/>
      <c r="BHQ68" s="166"/>
      <c r="BHR68" s="166"/>
      <c r="BHS68" s="166"/>
      <c r="BHT68" s="166"/>
      <c r="BHU68" s="166"/>
      <c r="BHV68" s="166"/>
      <c r="BHW68" s="166"/>
      <c r="BHX68" s="166"/>
      <c r="BHY68" s="166"/>
      <c r="BHZ68" s="166"/>
      <c r="BIA68" s="166"/>
      <c r="BIB68" s="166"/>
      <c r="BIC68" s="166"/>
      <c r="BID68" s="166"/>
      <c r="BIE68" s="166"/>
      <c r="BIF68" s="166"/>
      <c r="BIG68" s="166"/>
      <c r="BIH68" s="166"/>
      <c r="BII68" s="166"/>
      <c r="BIJ68" s="166"/>
      <c r="BIK68" s="166"/>
      <c r="BIL68" s="166"/>
      <c r="BIM68" s="166"/>
      <c r="BIN68" s="166"/>
      <c r="BIO68" s="166"/>
      <c r="BIP68" s="166"/>
      <c r="BIQ68" s="166"/>
      <c r="BIR68" s="166"/>
      <c r="BIS68" s="166"/>
      <c r="BIT68" s="166"/>
      <c r="BIU68" s="166"/>
      <c r="BIV68" s="166"/>
      <c r="BIW68" s="166"/>
      <c r="BIX68" s="166"/>
      <c r="BIY68" s="166"/>
      <c r="BIZ68" s="166"/>
      <c r="BJA68" s="166"/>
      <c r="BJB68" s="166"/>
      <c r="BJC68" s="166"/>
      <c r="BJD68" s="166"/>
      <c r="BJE68" s="166"/>
      <c r="BJF68" s="166"/>
      <c r="BJG68" s="166"/>
      <c r="BJH68" s="166"/>
      <c r="BJI68" s="166"/>
      <c r="BJJ68" s="166"/>
      <c r="BJK68" s="166"/>
      <c r="BJL68" s="166"/>
      <c r="BJM68" s="166"/>
      <c r="BJN68" s="166"/>
      <c r="BJO68" s="166"/>
      <c r="BJP68" s="166"/>
      <c r="BJQ68" s="166"/>
      <c r="BJR68" s="166"/>
      <c r="BJS68" s="166"/>
      <c r="BJT68" s="166"/>
      <c r="BJU68" s="166"/>
      <c r="BJV68" s="166"/>
      <c r="BJW68" s="166"/>
      <c r="BJX68" s="166"/>
      <c r="BJY68" s="166"/>
      <c r="BJZ68" s="166"/>
      <c r="BKA68" s="166"/>
      <c r="BKB68" s="166"/>
      <c r="BKC68" s="166"/>
      <c r="BKD68" s="166"/>
      <c r="BKE68" s="166"/>
      <c r="BKF68" s="166"/>
      <c r="BKG68" s="166"/>
      <c r="BKH68" s="166"/>
      <c r="BKI68" s="166"/>
      <c r="BKJ68" s="166"/>
      <c r="BKK68" s="166"/>
      <c r="BKL68" s="166"/>
      <c r="BKM68" s="166"/>
      <c r="BKN68" s="166"/>
      <c r="BKO68" s="166"/>
      <c r="BKP68" s="166"/>
      <c r="BKQ68" s="166"/>
      <c r="BKR68" s="166"/>
      <c r="BKS68" s="166"/>
      <c r="BKT68" s="166"/>
      <c r="BKU68" s="166"/>
      <c r="BKV68" s="166"/>
      <c r="BKW68" s="166"/>
      <c r="BKX68" s="166"/>
      <c r="BKY68" s="166"/>
      <c r="BKZ68" s="166"/>
      <c r="BLA68" s="166"/>
      <c r="BLB68" s="166"/>
      <c r="BLC68" s="166"/>
      <c r="BLD68" s="166"/>
      <c r="BLE68" s="166"/>
      <c r="BLF68" s="166"/>
      <c r="BLG68" s="166"/>
      <c r="BLH68" s="166"/>
      <c r="BLI68" s="166"/>
      <c r="BLJ68" s="166"/>
      <c r="BLK68" s="166"/>
      <c r="BLL68" s="166"/>
      <c r="BLM68" s="166"/>
      <c r="BLN68" s="166"/>
      <c r="BLO68" s="166"/>
      <c r="BLP68" s="166"/>
      <c r="BLQ68" s="166"/>
      <c r="BLR68" s="166"/>
      <c r="BLS68" s="166"/>
      <c r="BLT68" s="166"/>
      <c r="BLU68" s="166"/>
      <c r="BLV68" s="166"/>
      <c r="BLW68" s="166"/>
      <c r="BLX68" s="166"/>
      <c r="BLY68" s="166"/>
      <c r="BLZ68" s="166"/>
      <c r="BMA68" s="166"/>
      <c r="BMB68" s="166"/>
      <c r="BMC68" s="166"/>
      <c r="BMD68" s="166"/>
      <c r="BME68" s="166"/>
      <c r="BMF68" s="166"/>
      <c r="BMG68" s="166"/>
      <c r="BMH68" s="166"/>
      <c r="BMI68" s="166"/>
      <c r="BMJ68" s="166"/>
      <c r="BMK68" s="166"/>
      <c r="BML68" s="166"/>
      <c r="BMM68" s="166"/>
      <c r="BMN68" s="166"/>
      <c r="BMO68" s="166"/>
      <c r="BMP68" s="166"/>
      <c r="BMQ68" s="166"/>
      <c r="BMR68" s="166"/>
      <c r="BMS68" s="166"/>
      <c r="BMT68" s="166"/>
      <c r="BMU68" s="166"/>
      <c r="BMV68" s="166"/>
      <c r="BMW68" s="166"/>
      <c r="BMX68" s="166"/>
      <c r="BMY68" s="166"/>
      <c r="BMZ68" s="166"/>
      <c r="BNA68" s="166"/>
      <c r="BNB68" s="166"/>
      <c r="BNC68" s="166"/>
      <c r="BND68" s="166"/>
      <c r="BNE68" s="166"/>
      <c r="BNF68" s="166"/>
      <c r="BNG68" s="166"/>
      <c r="BNH68" s="166"/>
      <c r="BNI68" s="166"/>
      <c r="BNJ68" s="166"/>
      <c r="BNK68" s="166"/>
      <c r="BNL68" s="166"/>
      <c r="BNM68" s="166"/>
      <c r="BNN68" s="166"/>
      <c r="BNO68" s="166"/>
      <c r="BNP68" s="166"/>
      <c r="BNQ68" s="166"/>
      <c r="BNR68" s="166"/>
      <c r="BNS68" s="166"/>
      <c r="BNT68" s="166"/>
      <c r="BNU68" s="166"/>
      <c r="BNV68" s="166"/>
      <c r="BNW68" s="166"/>
      <c r="BNX68" s="166"/>
      <c r="BNY68" s="166"/>
      <c r="BNZ68" s="166"/>
      <c r="BOA68" s="166"/>
      <c r="BOB68" s="166"/>
      <c r="BOC68" s="166"/>
      <c r="BOD68" s="166"/>
      <c r="BOE68" s="166"/>
      <c r="BOF68" s="166"/>
      <c r="BOG68" s="166"/>
      <c r="BOH68" s="166"/>
      <c r="BOI68" s="166"/>
      <c r="BOJ68" s="166"/>
      <c r="BOK68" s="166"/>
      <c r="BOL68" s="166"/>
      <c r="BOM68" s="166"/>
      <c r="BON68" s="166"/>
      <c r="BOO68" s="166"/>
      <c r="BOP68" s="166"/>
      <c r="BOQ68" s="166"/>
      <c r="BOR68" s="166"/>
      <c r="BOS68" s="166"/>
      <c r="BOT68" s="166"/>
      <c r="BOU68" s="166"/>
      <c r="BOV68" s="166"/>
      <c r="BOW68" s="166"/>
      <c r="BOX68" s="166"/>
      <c r="BOY68" s="166"/>
      <c r="BOZ68" s="166"/>
      <c r="BPA68" s="166"/>
      <c r="BPB68" s="166"/>
      <c r="BPC68" s="166"/>
      <c r="BPD68" s="166"/>
      <c r="BPE68" s="166"/>
      <c r="BPF68" s="166"/>
      <c r="BPG68" s="166"/>
      <c r="BPH68" s="166"/>
      <c r="BPI68" s="166"/>
      <c r="BPJ68" s="166"/>
      <c r="BPK68" s="166"/>
      <c r="BPL68" s="166"/>
      <c r="BPM68" s="166"/>
      <c r="BPN68" s="166"/>
      <c r="BPO68" s="166"/>
      <c r="BPP68" s="166"/>
      <c r="BPQ68" s="166"/>
      <c r="BPR68" s="166"/>
      <c r="BPS68" s="166"/>
      <c r="BPT68" s="166"/>
      <c r="BPU68" s="166"/>
      <c r="BPV68" s="166"/>
      <c r="BPW68" s="166"/>
      <c r="BPX68" s="166"/>
      <c r="BPY68" s="166"/>
      <c r="BPZ68" s="166"/>
      <c r="BQA68" s="166"/>
      <c r="BQB68" s="166"/>
      <c r="BQC68" s="166"/>
      <c r="BQD68" s="166"/>
      <c r="BQE68" s="166"/>
      <c r="BQF68" s="166"/>
      <c r="BQG68" s="166"/>
      <c r="BQH68" s="166"/>
      <c r="BQI68" s="166"/>
      <c r="BQJ68" s="166"/>
      <c r="BQK68" s="166"/>
      <c r="BQL68" s="166"/>
      <c r="BQM68" s="166"/>
      <c r="BQN68" s="166"/>
      <c r="BQO68" s="166"/>
      <c r="BQP68" s="166"/>
      <c r="BQQ68" s="166"/>
      <c r="BQR68" s="166"/>
      <c r="BQS68" s="166"/>
      <c r="BQT68" s="166"/>
      <c r="BQU68" s="166"/>
      <c r="BQV68" s="166"/>
      <c r="BQW68" s="166"/>
      <c r="BQX68" s="166"/>
      <c r="BQY68" s="166"/>
      <c r="BQZ68" s="166"/>
      <c r="BRA68" s="166"/>
      <c r="BRB68" s="166"/>
      <c r="BRC68" s="166"/>
      <c r="BRD68" s="166"/>
      <c r="BRE68" s="166"/>
      <c r="BRF68" s="166"/>
      <c r="BRG68" s="166"/>
      <c r="BRH68" s="166"/>
      <c r="BRI68" s="166"/>
      <c r="BRJ68" s="166"/>
      <c r="BRK68" s="166"/>
      <c r="BRL68" s="166"/>
      <c r="BRM68" s="166"/>
      <c r="BRN68" s="166"/>
      <c r="BRO68" s="166"/>
      <c r="BRP68" s="166"/>
      <c r="BRQ68" s="166"/>
      <c r="BRR68" s="166"/>
      <c r="BRS68" s="166"/>
      <c r="BRT68" s="166"/>
      <c r="BRU68" s="166"/>
      <c r="BRV68" s="166"/>
      <c r="BRW68" s="166"/>
      <c r="BRX68" s="166"/>
      <c r="BRY68" s="166"/>
      <c r="BRZ68" s="166"/>
      <c r="BSA68" s="166"/>
      <c r="BSB68" s="166"/>
      <c r="BSC68" s="166"/>
      <c r="BSD68" s="166"/>
      <c r="BSE68" s="166"/>
      <c r="BSF68" s="166"/>
      <c r="BSG68" s="166"/>
      <c r="BSH68" s="166"/>
      <c r="BSI68" s="166"/>
      <c r="BSJ68" s="166"/>
      <c r="BSK68" s="166"/>
      <c r="BSL68" s="166"/>
      <c r="BSM68" s="166"/>
      <c r="BSN68" s="166"/>
      <c r="BSO68" s="166"/>
      <c r="BSP68" s="166"/>
      <c r="BSQ68" s="166"/>
      <c r="BSR68" s="166"/>
      <c r="BSS68" s="166"/>
    </row>
    <row r="69" spans="1:1865" ht="20.100000000000001" customHeight="1" x14ac:dyDescent="0.25">
      <c r="A69" s="100" t="s">
        <v>20</v>
      </c>
      <c r="B69" s="63"/>
      <c r="C69" s="207"/>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165"/>
      <c r="BHG69" s="166"/>
      <c r="BHH69" s="166"/>
      <c r="BHI69" s="166"/>
      <c r="BHJ69" s="166"/>
      <c r="BHK69" s="166"/>
      <c r="BHL69" s="166"/>
      <c r="BHM69" s="166"/>
      <c r="BHN69" s="166"/>
      <c r="BHO69" s="166"/>
      <c r="BHP69" s="166"/>
      <c r="BHQ69" s="166"/>
      <c r="BHR69" s="166"/>
      <c r="BHS69" s="166"/>
      <c r="BHT69" s="166"/>
      <c r="BHU69" s="166"/>
      <c r="BHV69" s="166"/>
      <c r="BHW69" s="166"/>
      <c r="BHX69" s="166"/>
      <c r="BHY69" s="166"/>
      <c r="BHZ69" s="166"/>
      <c r="BIA69" s="166"/>
      <c r="BIB69" s="166"/>
      <c r="BIC69" s="166"/>
      <c r="BID69" s="166"/>
      <c r="BIE69" s="166"/>
      <c r="BIF69" s="166"/>
      <c r="BIG69" s="166"/>
      <c r="BIH69" s="166"/>
      <c r="BII69" s="166"/>
      <c r="BIJ69" s="166"/>
      <c r="BIK69" s="166"/>
      <c r="BIL69" s="166"/>
      <c r="BIM69" s="166"/>
      <c r="BIN69" s="166"/>
      <c r="BIO69" s="166"/>
      <c r="BIP69" s="166"/>
      <c r="BIQ69" s="166"/>
      <c r="BIR69" s="166"/>
      <c r="BIS69" s="166"/>
      <c r="BIT69" s="166"/>
      <c r="BIU69" s="166"/>
      <c r="BIV69" s="166"/>
      <c r="BIW69" s="166"/>
      <c r="BIX69" s="166"/>
      <c r="BIY69" s="166"/>
      <c r="BIZ69" s="166"/>
      <c r="BJA69" s="166"/>
      <c r="BJB69" s="166"/>
      <c r="BJC69" s="166"/>
      <c r="BJD69" s="166"/>
      <c r="BJE69" s="166"/>
      <c r="BJF69" s="166"/>
      <c r="BJG69" s="166"/>
      <c r="BJH69" s="166"/>
      <c r="BJI69" s="166"/>
      <c r="BJJ69" s="166"/>
      <c r="BJK69" s="166"/>
      <c r="BJL69" s="166"/>
      <c r="BJM69" s="166"/>
      <c r="BJN69" s="166"/>
      <c r="BJO69" s="166"/>
      <c r="BJP69" s="166"/>
      <c r="BJQ69" s="166"/>
      <c r="BJR69" s="166"/>
      <c r="BJS69" s="166"/>
      <c r="BJT69" s="166"/>
      <c r="BJU69" s="166"/>
      <c r="BJV69" s="166"/>
      <c r="BJW69" s="166"/>
      <c r="BJX69" s="166"/>
      <c r="BJY69" s="166"/>
      <c r="BJZ69" s="166"/>
      <c r="BKA69" s="166"/>
      <c r="BKB69" s="166"/>
      <c r="BKC69" s="166"/>
      <c r="BKD69" s="166"/>
      <c r="BKE69" s="166"/>
      <c r="BKF69" s="166"/>
      <c r="BKG69" s="166"/>
      <c r="BKH69" s="166"/>
      <c r="BKI69" s="166"/>
      <c r="BKJ69" s="166"/>
      <c r="BKK69" s="166"/>
      <c r="BKL69" s="166"/>
      <c r="BKM69" s="166"/>
      <c r="BKN69" s="166"/>
      <c r="BKO69" s="166"/>
      <c r="BKP69" s="166"/>
      <c r="BKQ69" s="166"/>
      <c r="BKR69" s="166"/>
      <c r="BKS69" s="166"/>
      <c r="BKT69" s="166"/>
      <c r="BKU69" s="166"/>
      <c r="BKV69" s="166"/>
      <c r="BKW69" s="166"/>
      <c r="BKX69" s="166"/>
      <c r="BKY69" s="166"/>
      <c r="BKZ69" s="166"/>
      <c r="BLA69" s="166"/>
      <c r="BLB69" s="166"/>
      <c r="BLC69" s="166"/>
      <c r="BLD69" s="166"/>
      <c r="BLE69" s="166"/>
      <c r="BLF69" s="166"/>
      <c r="BLG69" s="166"/>
      <c r="BLH69" s="166"/>
      <c r="BLI69" s="166"/>
      <c r="BLJ69" s="166"/>
      <c r="BLK69" s="166"/>
      <c r="BLL69" s="166"/>
      <c r="BLM69" s="166"/>
      <c r="BLN69" s="166"/>
      <c r="BLO69" s="166"/>
      <c r="BLP69" s="166"/>
      <c r="BLQ69" s="166"/>
      <c r="BLR69" s="166"/>
      <c r="BLS69" s="166"/>
      <c r="BLT69" s="166"/>
      <c r="BLU69" s="166"/>
      <c r="BLV69" s="166"/>
      <c r="BLW69" s="166"/>
      <c r="BLX69" s="166"/>
      <c r="BLY69" s="166"/>
      <c r="BLZ69" s="166"/>
      <c r="BMA69" s="166"/>
      <c r="BMB69" s="166"/>
      <c r="BMC69" s="166"/>
      <c r="BMD69" s="166"/>
      <c r="BME69" s="166"/>
      <c r="BMF69" s="166"/>
      <c r="BMG69" s="166"/>
      <c r="BMH69" s="166"/>
      <c r="BMI69" s="166"/>
      <c r="BMJ69" s="166"/>
      <c r="BMK69" s="166"/>
      <c r="BML69" s="166"/>
      <c r="BMM69" s="166"/>
      <c r="BMN69" s="166"/>
      <c r="BMO69" s="166"/>
      <c r="BMP69" s="166"/>
      <c r="BMQ69" s="166"/>
      <c r="BMR69" s="166"/>
      <c r="BMS69" s="166"/>
      <c r="BMT69" s="166"/>
      <c r="BMU69" s="166"/>
      <c r="BMV69" s="166"/>
      <c r="BMW69" s="166"/>
      <c r="BMX69" s="166"/>
      <c r="BMY69" s="166"/>
      <c r="BMZ69" s="166"/>
      <c r="BNA69" s="166"/>
      <c r="BNB69" s="166"/>
      <c r="BNC69" s="166"/>
      <c r="BND69" s="166"/>
      <c r="BNE69" s="166"/>
      <c r="BNF69" s="166"/>
      <c r="BNG69" s="166"/>
      <c r="BNH69" s="166"/>
      <c r="BNI69" s="166"/>
      <c r="BNJ69" s="166"/>
      <c r="BNK69" s="166"/>
      <c r="BNL69" s="166"/>
      <c r="BNM69" s="166"/>
      <c r="BNN69" s="166"/>
      <c r="BNO69" s="166"/>
      <c r="BNP69" s="166"/>
      <c r="BNQ69" s="166"/>
      <c r="BNR69" s="166"/>
      <c r="BNS69" s="166"/>
      <c r="BNT69" s="166"/>
      <c r="BNU69" s="166"/>
      <c r="BNV69" s="166"/>
      <c r="BNW69" s="166"/>
      <c r="BNX69" s="166"/>
      <c r="BNY69" s="166"/>
      <c r="BNZ69" s="166"/>
      <c r="BOA69" s="166"/>
      <c r="BOB69" s="166"/>
      <c r="BOC69" s="166"/>
      <c r="BOD69" s="166"/>
      <c r="BOE69" s="166"/>
      <c r="BOF69" s="166"/>
      <c r="BOG69" s="166"/>
      <c r="BOH69" s="166"/>
      <c r="BOI69" s="166"/>
      <c r="BOJ69" s="166"/>
      <c r="BOK69" s="166"/>
      <c r="BOL69" s="166"/>
      <c r="BOM69" s="166"/>
      <c r="BON69" s="166"/>
      <c r="BOO69" s="166"/>
      <c r="BOP69" s="166"/>
      <c r="BOQ69" s="166"/>
      <c r="BOR69" s="166"/>
      <c r="BOS69" s="166"/>
      <c r="BOT69" s="166"/>
      <c r="BOU69" s="166"/>
      <c r="BOV69" s="166"/>
      <c r="BOW69" s="166"/>
      <c r="BOX69" s="166"/>
      <c r="BOY69" s="166"/>
      <c r="BOZ69" s="166"/>
      <c r="BPA69" s="166"/>
      <c r="BPB69" s="166"/>
      <c r="BPC69" s="166"/>
      <c r="BPD69" s="166"/>
      <c r="BPE69" s="166"/>
      <c r="BPF69" s="166"/>
      <c r="BPG69" s="166"/>
      <c r="BPH69" s="166"/>
      <c r="BPI69" s="166"/>
      <c r="BPJ69" s="166"/>
      <c r="BPK69" s="166"/>
      <c r="BPL69" s="166"/>
      <c r="BPM69" s="166"/>
      <c r="BPN69" s="166"/>
      <c r="BPO69" s="166"/>
      <c r="BPP69" s="166"/>
      <c r="BPQ69" s="166"/>
      <c r="BPR69" s="166"/>
      <c r="BPS69" s="166"/>
      <c r="BPT69" s="166"/>
      <c r="BPU69" s="166"/>
      <c r="BPV69" s="166"/>
      <c r="BPW69" s="166"/>
      <c r="BPX69" s="166"/>
      <c r="BPY69" s="166"/>
      <c r="BPZ69" s="166"/>
      <c r="BQA69" s="166"/>
      <c r="BQB69" s="166"/>
      <c r="BQC69" s="166"/>
      <c r="BQD69" s="166"/>
      <c r="BQE69" s="166"/>
      <c r="BQF69" s="166"/>
      <c r="BQG69" s="166"/>
      <c r="BQH69" s="166"/>
      <c r="BQI69" s="166"/>
      <c r="BQJ69" s="166"/>
      <c r="BQK69" s="166"/>
      <c r="BQL69" s="166"/>
      <c r="BQM69" s="166"/>
      <c r="BQN69" s="166"/>
      <c r="BQO69" s="166"/>
      <c r="BQP69" s="166"/>
      <c r="BQQ69" s="166"/>
      <c r="BQR69" s="166"/>
      <c r="BQS69" s="166"/>
      <c r="BQT69" s="166"/>
      <c r="BQU69" s="166"/>
      <c r="BQV69" s="166"/>
      <c r="BQW69" s="166"/>
      <c r="BQX69" s="166"/>
      <c r="BQY69" s="166"/>
      <c r="BQZ69" s="166"/>
      <c r="BRA69" s="166"/>
      <c r="BRB69" s="166"/>
      <c r="BRC69" s="166"/>
      <c r="BRD69" s="166"/>
      <c r="BRE69" s="166"/>
      <c r="BRF69" s="166"/>
      <c r="BRG69" s="166"/>
      <c r="BRH69" s="166"/>
      <c r="BRI69" s="166"/>
      <c r="BRJ69" s="166"/>
      <c r="BRK69" s="166"/>
      <c r="BRL69" s="166"/>
      <c r="BRM69" s="166"/>
      <c r="BRN69" s="166"/>
      <c r="BRO69" s="166"/>
      <c r="BRP69" s="166"/>
      <c r="BRQ69" s="166"/>
      <c r="BRR69" s="166"/>
      <c r="BRS69" s="166"/>
      <c r="BRT69" s="166"/>
      <c r="BRU69" s="166"/>
      <c r="BRV69" s="166"/>
      <c r="BRW69" s="166"/>
      <c r="BRX69" s="166"/>
      <c r="BRY69" s="166"/>
      <c r="BRZ69" s="166"/>
      <c r="BSA69" s="166"/>
      <c r="BSB69" s="166"/>
      <c r="BSC69" s="166"/>
      <c r="BSD69" s="166"/>
      <c r="BSE69" s="166"/>
      <c r="BSF69" s="166"/>
      <c r="BSG69" s="166"/>
      <c r="BSH69" s="166"/>
      <c r="BSI69" s="166"/>
      <c r="BSJ69" s="166"/>
      <c r="BSK69" s="166"/>
      <c r="BSL69" s="166"/>
      <c r="BSM69" s="166"/>
      <c r="BSN69" s="166"/>
      <c r="BSO69" s="166"/>
      <c r="BSP69" s="166"/>
      <c r="BSQ69" s="166"/>
      <c r="BSR69" s="166"/>
      <c r="BSS69" s="166"/>
    </row>
    <row r="70" spans="1:1865" ht="20.100000000000001" customHeight="1" x14ac:dyDescent="0.3">
      <c r="A70" s="100" t="s">
        <v>21</v>
      </c>
      <c r="B70" s="63"/>
      <c r="C70" s="218"/>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165"/>
      <c r="BHG70" s="166"/>
      <c r="BHH70" s="166"/>
      <c r="BHI70" s="166"/>
      <c r="BHJ70" s="166"/>
      <c r="BHK70" s="166"/>
      <c r="BHL70" s="166"/>
      <c r="BHM70" s="166"/>
      <c r="BHN70" s="166"/>
      <c r="BHO70" s="166"/>
      <c r="BHP70" s="166"/>
      <c r="BHQ70" s="166"/>
      <c r="BHR70" s="166"/>
      <c r="BHS70" s="166"/>
      <c r="BHT70" s="166"/>
      <c r="BHU70" s="166"/>
      <c r="BHV70" s="166"/>
      <c r="BHW70" s="166"/>
      <c r="BHX70" s="166"/>
      <c r="BHY70" s="166"/>
      <c r="BHZ70" s="166"/>
      <c r="BIA70" s="166"/>
      <c r="BIB70" s="166"/>
      <c r="BIC70" s="166"/>
      <c r="BID70" s="166"/>
      <c r="BIE70" s="166"/>
      <c r="BIF70" s="166"/>
      <c r="BIG70" s="166"/>
      <c r="BIH70" s="166"/>
      <c r="BII70" s="166"/>
      <c r="BIJ70" s="166"/>
      <c r="BIK70" s="166"/>
      <c r="BIL70" s="166"/>
      <c r="BIM70" s="166"/>
      <c r="BIN70" s="166"/>
      <c r="BIO70" s="166"/>
      <c r="BIP70" s="166"/>
      <c r="BIQ70" s="166"/>
      <c r="BIR70" s="166"/>
      <c r="BIS70" s="166"/>
      <c r="BIT70" s="166"/>
      <c r="BIU70" s="166"/>
      <c r="BIV70" s="166"/>
      <c r="BIW70" s="166"/>
      <c r="BIX70" s="166"/>
      <c r="BIY70" s="166"/>
      <c r="BIZ70" s="166"/>
      <c r="BJA70" s="166"/>
      <c r="BJB70" s="166"/>
      <c r="BJC70" s="166"/>
      <c r="BJD70" s="166"/>
      <c r="BJE70" s="166"/>
      <c r="BJF70" s="166"/>
      <c r="BJG70" s="166"/>
      <c r="BJH70" s="166"/>
      <c r="BJI70" s="166"/>
      <c r="BJJ70" s="166"/>
      <c r="BJK70" s="166"/>
      <c r="BJL70" s="166"/>
      <c r="BJM70" s="166"/>
      <c r="BJN70" s="166"/>
      <c r="BJO70" s="166"/>
      <c r="BJP70" s="166"/>
      <c r="BJQ70" s="166"/>
      <c r="BJR70" s="166"/>
      <c r="BJS70" s="166"/>
      <c r="BJT70" s="166"/>
      <c r="BJU70" s="166"/>
      <c r="BJV70" s="166"/>
      <c r="BJW70" s="166"/>
      <c r="BJX70" s="166"/>
      <c r="BJY70" s="166"/>
      <c r="BJZ70" s="166"/>
      <c r="BKA70" s="166"/>
      <c r="BKB70" s="166"/>
      <c r="BKC70" s="166"/>
      <c r="BKD70" s="166"/>
      <c r="BKE70" s="166"/>
      <c r="BKF70" s="166"/>
      <c r="BKG70" s="166"/>
      <c r="BKH70" s="166"/>
      <c r="BKI70" s="166"/>
      <c r="BKJ70" s="166"/>
      <c r="BKK70" s="166"/>
      <c r="BKL70" s="166"/>
      <c r="BKM70" s="166"/>
      <c r="BKN70" s="166"/>
      <c r="BKO70" s="166"/>
      <c r="BKP70" s="166"/>
      <c r="BKQ70" s="166"/>
      <c r="BKR70" s="166"/>
      <c r="BKS70" s="166"/>
      <c r="BKT70" s="166"/>
      <c r="BKU70" s="166"/>
      <c r="BKV70" s="166"/>
      <c r="BKW70" s="166"/>
      <c r="BKX70" s="166"/>
      <c r="BKY70" s="166"/>
      <c r="BKZ70" s="166"/>
      <c r="BLA70" s="166"/>
      <c r="BLB70" s="166"/>
      <c r="BLC70" s="166"/>
      <c r="BLD70" s="166"/>
      <c r="BLE70" s="166"/>
      <c r="BLF70" s="166"/>
      <c r="BLG70" s="166"/>
      <c r="BLH70" s="166"/>
      <c r="BLI70" s="166"/>
      <c r="BLJ70" s="166"/>
      <c r="BLK70" s="166"/>
      <c r="BLL70" s="166"/>
      <c r="BLM70" s="166"/>
      <c r="BLN70" s="166"/>
      <c r="BLO70" s="166"/>
      <c r="BLP70" s="166"/>
      <c r="BLQ70" s="166"/>
      <c r="BLR70" s="166"/>
      <c r="BLS70" s="166"/>
      <c r="BLT70" s="166"/>
      <c r="BLU70" s="166"/>
      <c r="BLV70" s="166"/>
      <c r="BLW70" s="166"/>
      <c r="BLX70" s="166"/>
      <c r="BLY70" s="166"/>
      <c r="BLZ70" s="166"/>
      <c r="BMA70" s="166"/>
      <c r="BMB70" s="166"/>
      <c r="BMC70" s="166"/>
      <c r="BMD70" s="166"/>
      <c r="BME70" s="166"/>
      <c r="BMF70" s="166"/>
      <c r="BMG70" s="166"/>
      <c r="BMH70" s="166"/>
      <c r="BMI70" s="166"/>
      <c r="BMJ70" s="166"/>
      <c r="BMK70" s="166"/>
      <c r="BML70" s="166"/>
      <c r="BMM70" s="166"/>
      <c r="BMN70" s="166"/>
      <c r="BMO70" s="166"/>
      <c r="BMP70" s="166"/>
      <c r="BMQ70" s="166"/>
      <c r="BMR70" s="166"/>
      <c r="BMS70" s="166"/>
      <c r="BMT70" s="166"/>
      <c r="BMU70" s="166"/>
      <c r="BMV70" s="166"/>
      <c r="BMW70" s="166"/>
      <c r="BMX70" s="166"/>
      <c r="BMY70" s="166"/>
      <c r="BMZ70" s="166"/>
      <c r="BNA70" s="166"/>
      <c r="BNB70" s="166"/>
      <c r="BNC70" s="166"/>
      <c r="BND70" s="166"/>
      <c r="BNE70" s="166"/>
      <c r="BNF70" s="166"/>
      <c r="BNG70" s="166"/>
      <c r="BNH70" s="166"/>
      <c r="BNI70" s="166"/>
      <c r="BNJ70" s="166"/>
      <c r="BNK70" s="166"/>
      <c r="BNL70" s="166"/>
      <c r="BNM70" s="166"/>
      <c r="BNN70" s="166"/>
      <c r="BNO70" s="166"/>
      <c r="BNP70" s="166"/>
      <c r="BNQ70" s="166"/>
      <c r="BNR70" s="166"/>
      <c r="BNS70" s="166"/>
      <c r="BNT70" s="166"/>
      <c r="BNU70" s="166"/>
      <c r="BNV70" s="166"/>
      <c r="BNW70" s="166"/>
      <c r="BNX70" s="166"/>
      <c r="BNY70" s="166"/>
      <c r="BNZ70" s="166"/>
      <c r="BOA70" s="166"/>
      <c r="BOB70" s="166"/>
      <c r="BOC70" s="166"/>
      <c r="BOD70" s="166"/>
      <c r="BOE70" s="166"/>
      <c r="BOF70" s="166"/>
      <c r="BOG70" s="166"/>
      <c r="BOH70" s="166"/>
      <c r="BOI70" s="166"/>
      <c r="BOJ70" s="166"/>
      <c r="BOK70" s="166"/>
      <c r="BOL70" s="166"/>
      <c r="BOM70" s="166"/>
      <c r="BON70" s="166"/>
      <c r="BOO70" s="166"/>
      <c r="BOP70" s="166"/>
      <c r="BOQ70" s="166"/>
      <c r="BOR70" s="166"/>
      <c r="BOS70" s="166"/>
      <c r="BOT70" s="166"/>
      <c r="BOU70" s="166"/>
      <c r="BOV70" s="166"/>
      <c r="BOW70" s="166"/>
      <c r="BOX70" s="166"/>
      <c r="BOY70" s="166"/>
      <c r="BOZ70" s="166"/>
      <c r="BPA70" s="166"/>
      <c r="BPB70" s="166"/>
      <c r="BPC70" s="166"/>
      <c r="BPD70" s="166"/>
      <c r="BPE70" s="166"/>
      <c r="BPF70" s="166"/>
      <c r="BPG70" s="166"/>
      <c r="BPH70" s="166"/>
      <c r="BPI70" s="166"/>
      <c r="BPJ70" s="166"/>
      <c r="BPK70" s="166"/>
      <c r="BPL70" s="166"/>
      <c r="BPM70" s="166"/>
      <c r="BPN70" s="166"/>
      <c r="BPO70" s="166"/>
      <c r="BPP70" s="166"/>
      <c r="BPQ70" s="166"/>
      <c r="BPR70" s="166"/>
      <c r="BPS70" s="166"/>
      <c r="BPT70" s="166"/>
      <c r="BPU70" s="166"/>
      <c r="BPV70" s="166"/>
      <c r="BPW70" s="166"/>
      <c r="BPX70" s="166"/>
      <c r="BPY70" s="166"/>
      <c r="BPZ70" s="166"/>
      <c r="BQA70" s="166"/>
      <c r="BQB70" s="166"/>
      <c r="BQC70" s="166"/>
      <c r="BQD70" s="166"/>
      <c r="BQE70" s="166"/>
      <c r="BQF70" s="166"/>
      <c r="BQG70" s="166"/>
      <c r="BQH70" s="166"/>
      <c r="BQI70" s="166"/>
      <c r="BQJ70" s="166"/>
      <c r="BQK70" s="166"/>
      <c r="BQL70" s="166"/>
      <c r="BQM70" s="166"/>
      <c r="BQN70" s="166"/>
      <c r="BQO70" s="166"/>
      <c r="BQP70" s="166"/>
      <c r="BQQ70" s="166"/>
      <c r="BQR70" s="166"/>
      <c r="BQS70" s="166"/>
      <c r="BQT70" s="166"/>
      <c r="BQU70" s="166"/>
      <c r="BQV70" s="166"/>
      <c r="BQW70" s="166"/>
      <c r="BQX70" s="166"/>
      <c r="BQY70" s="166"/>
      <c r="BQZ70" s="166"/>
      <c r="BRA70" s="166"/>
      <c r="BRB70" s="166"/>
      <c r="BRC70" s="166"/>
      <c r="BRD70" s="166"/>
      <c r="BRE70" s="166"/>
      <c r="BRF70" s="166"/>
      <c r="BRG70" s="166"/>
      <c r="BRH70" s="166"/>
      <c r="BRI70" s="166"/>
      <c r="BRJ70" s="166"/>
      <c r="BRK70" s="166"/>
      <c r="BRL70" s="166"/>
      <c r="BRM70" s="166"/>
      <c r="BRN70" s="166"/>
      <c r="BRO70" s="166"/>
      <c r="BRP70" s="166"/>
      <c r="BRQ70" s="166"/>
      <c r="BRR70" s="166"/>
      <c r="BRS70" s="166"/>
      <c r="BRT70" s="166"/>
      <c r="BRU70" s="166"/>
      <c r="BRV70" s="166"/>
      <c r="BRW70" s="166"/>
      <c r="BRX70" s="166"/>
      <c r="BRY70" s="166"/>
      <c r="BRZ70" s="166"/>
      <c r="BSA70" s="166"/>
      <c r="BSB70" s="166"/>
      <c r="BSC70" s="166"/>
      <c r="BSD70" s="166"/>
      <c r="BSE70" s="166"/>
      <c r="BSF70" s="166"/>
      <c r="BSG70" s="166"/>
      <c r="BSH70" s="166"/>
      <c r="BSI70" s="166"/>
      <c r="BSJ70" s="166"/>
      <c r="BSK70" s="166"/>
      <c r="BSL70" s="166"/>
      <c r="BSM70" s="166"/>
      <c r="BSN70" s="166"/>
      <c r="BSO70" s="166"/>
      <c r="BSP70" s="166"/>
      <c r="BSQ70" s="166"/>
      <c r="BSR70" s="166"/>
      <c r="BSS70" s="166"/>
    </row>
    <row r="71" spans="1:1865" ht="20.100000000000001" customHeight="1" x14ac:dyDescent="0.25">
      <c r="A71" s="100" t="s">
        <v>20</v>
      </c>
      <c r="B71" s="63"/>
      <c r="C71" s="207"/>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165"/>
      <c r="BHG71" s="166"/>
      <c r="BHH71" s="166"/>
      <c r="BHI71" s="166"/>
      <c r="BHJ71" s="166"/>
      <c r="BHK71" s="166"/>
      <c r="BHL71" s="166"/>
      <c r="BHM71" s="166"/>
      <c r="BHN71" s="166"/>
      <c r="BHO71" s="166"/>
      <c r="BHP71" s="166"/>
      <c r="BHQ71" s="166"/>
      <c r="BHR71" s="166"/>
      <c r="BHS71" s="166"/>
      <c r="BHT71" s="166"/>
      <c r="BHU71" s="166"/>
      <c r="BHV71" s="166"/>
      <c r="BHW71" s="166"/>
      <c r="BHX71" s="166"/>
      <c r="BHY71" s="166"/>
      <c r="BHZ71" s="166"/>
      <c r="BIA71" s="166"/>
      <c r="BIB71" s="166"/>
      <c r="BIC71" s="166"/>
      <c r="BID71" s="166"/>
      <c r="BIE71" s="166"/>
      <c r="BIF71" s="166"/>
      <c r="BIG71" s="166"/>
      <c r="BIH71" s="166"/>
      <c r="BII71" s="166"/>
      <c r="BIJ71" s="166"/>
      <c r="BIK71" s="166"/>
      <c r="BIL71" s="166"/>
      <c r="BIM71" s="166"/>
      <c r="BIN71" s="166"/>
      <c r="BIO71" s="166"/>
      <c r="BIP71" s="166"/>
      <c r="BIQ71" s="166"/>
      <c r="BIR71" s="166"/>
      <c r="BIS71" s="166"/>
      <c r="BIT71" s="166"/>
      <c r="BIU71" s="166"/>
      <c r="BIV71" s="166"/>
      <c r="BIW71" s="166"/>
      <c r="BIX71" s="166"/>
      <c r="BIY71" s="166"/>
      <c r="BIZ71" s="166"/>
      <c r="BJA71" s="166"/>
      <c r="BJB71" s="166"/>
      <c r="BJC71" s="166"/>
      <c r="BJD71" s="166"/>
      <c r="BJE71" s="166"/>
      <c r="BJF71" s="166"/>
      <c r="BJG71" s="166"/>
      <c r="BJH71" s="166"/>
      <c r="BJI71" s="166"/>
      <c r="BJJ71" s="166"/>
      <c r="BJK71" s="166"/>
      <c r="BJL71" s="166"/>
      <c r="BJM71" s="166"/>
      <c r="BJN71" s="166"/>
      <c r="BJO71" s="166"/>
      <c r="BJP71" s="166"/>
      <c r="BJQ71" s="166"/>
      <c r="BJR71" s="166"/>
      <c r="BJS71" s="166"/>
      <c r="BJT71" s="166"/>
      <c r="BJU71" s="166"/>
      <c r="BJV71" s="166"/>
      <c r="BJW71" s="166"/>
      <c r="BJX71" s="166"/>
      <c r="BJY71" s="166"/>
      <c r="BJZ71" s="166"/>
      <c r="BKA71" s="166"/>
      <c r="BKB71" s="166"/>
      <c r="BKC71" s="166"/>
      <c r="BKD71" s="166"/>
      <c r="BKE71" s="166"/>
      <c r="BKF71" s="166"/>
      <c r="BKG71" s="166"/>
      <c r="BKH71" s="166"/>
      <c r="BKI71" s="166"/>
      <c r="BKJ71" s="166"/>
      <c r="BKK71" s="166"/>
      <c r="BKL71" s="166"/>
      <c r="BKM71" s="166"/>
      <c r="BKN71" s="166"/>
      <c r="BKO71" s="166"/>
      <c r="BKP71" s="166"/>
      <c r="BKQ71" s="166"/>
      <c r="BKR71" s="166"/>
      <c r="BKS71" s="166"/>
      <c r="BKT71" s="166"/>
      <c r="BKU71" s="166"/>
      <c r="BKV71" s="166"/>
      <c r="BKW71" s="166"/>
      <c r="BKX71" s="166"/>
      <c r="BKY71" s="166"/>
      <c r="BKZ71" s="166"/>
      <c r="BLA71" s="166"/>
      <c r="BLB71" s="166"/>
      <c r="BLC71" s="166"/>
      <c r="BLD71" s="166"/>
      <c r="BLE71" s="166"/>
      <c r="BLF71" s="166"/>
      <c r="BLG71" s="166"/>
      <c r="BLH71" s="166"/>
      <c r="BLI71" s="166"/>
      <c r="BLJ71" s="166"/>
      <c r="BLK71" s="166"/>
      <c r="BLL71" s="166"/>
      <c r="BLM71" s="166"/>
      <c r="BLN71" s="166"/>
      <c r="BLO71" s="166"/>
      <c r="BLP71" s="166"/>
      <c r="BLQ71" s="166"/>
      <c r="BLR71" s="166"/>
      <c r="BLS71" s="166"/>
      <c r="BLT71" s="166"/>
      <c r="BLU71" s="166"/>
      <c r="BLV71" s="166"/>
      <c r="BLW71" s="166"/>
      <c r="BLX71" s="166"/>
      <c r="BLY71" s="166"/>
      <c r="BLZ71" s="166"/>
      <c r="BMA71" s="166"/>
      <c r="BMB71" s="166"/>
      <c r="BMC71" s="166"/>
      <c r="BMD71" s="166"/>
      <c r="BME71" s="166"/>
      <c r="BMF71" s="166"/>
      <c r="BMG71" s="166"/>
      <c r="BMH71" s="166"/>
      <c r="BMI71" s="166"/>
      <c r="BMJ71" s="166"/>
      <c r="BMK71" s="166"/>
      <c r="BML71" s="166"/>
      <c r="BMM71" s="166"/>
      <c r="BMN71" s="166"/>
      <c r="BMO71" s="166"/>
      <c r="BMP71" s="166"/>
      <c r="BMQ71" s="166"/>
      <c r="BMR71" s="166"/>
      <c r="BMS71" s="166"/>
      <c r="BMT71" s="166"/>
      <c r="BMU71" s="166"/>
      <c r="BMV71" s="166"/>
      <c r="BMW71" s="166"/>
      <c r="BMX71" s="166"/>
      <c r="BMY71" s="166"/>
      <c r="BMZ71" s="166"/>
      <c r="BNA71" s="166"/>
      <c r="BNB71" s="166"/>
      <c r="BNC71" s="166"/>
      <c r="BND71" s="166"/>
      <c r="BNE71" s="166"/>
      <c r="BNF71" s="166"/>
      <c r="BNG71" s="166"/>
      <c r="BNH71" s="166"/>
      <c r="BNI71" s="166"/>
      <c r="BNJ71" s="166"/>
      <c r="BNK71" s="166"/>
      <c r="BNL71" s="166"/>
      <c r="BNM71" s="166"/>
      <c r="BNN71" s="166"/>
      <c r="BNO71" s="166"/>
      <c r="BNP71" s="166"/>
      <c r="BNQ71" s="166"/>
      <c r="BNR71" s="166"/>
      <c r="BNS71" s="166"/>
      <c r="BNT71" s="166"/>
      <c r="BNU71" s="166"/>
      <c r="BNV71" s="166"/>
      <c r="BNW71" s="166"/>
      <c r="BNX71" s="166"/>
      <c r="BNY71" s="166"/>
      <c r="BNZ71" s="166"/>
      <c r="BOA71" s="166"/>
      <c r="BOB71" s="166"/>
      <c r="BOC71" s="166"/>
      <c r="BOD71" s="166"/>
      <c r="BOE71" s="166"/>
      <c r="BOF71" s="166"/>
      <c r="BOG71" s="166"/>
      <c r="BOH71" s="166"/>
      <c r="BOI71" s="166"/>
      <c r="BOJ71" s="166"/>
      <c r="BOK71" s="166"/>
      <c r="BOL71" s="166"/>
      <c r="BOM71" s="166"/>
      <c r="BON71" s="166"/>
      <c r="BOO71" s="166"/>
      <c r="BOP71" s="166"/>
      <c r="BOQ71" s="166"/>
      <c r="BOR71" s="166"/>
      <c r="BOS71" s="166"/>
      <c r="BOT71" s="166"/>
      <c r="BOU71" s="166"/>
      <c r="BOV71" s="166"/>
      <c r="BOW71" s="166"/>
      <c r="BOX71" s="166"/>
      <c r="BOY71" s="166"/>
      <c r="BOZ71" s="166"/>
      <c r="BPA71" s="166"/>
      <c r="BPB71" s="166"/>
      <c r="BPC71" s="166"/>
      <c r="BPD71" s="166"/>
      <c r="BPE71" s="166"/>
      <c r="BPF71" s="166"/>
      <c r="BPG71" s="166"/>
      <c r="BPH71" s="166"/>
      <c r="BPI71" s="166"/>
      <c r="BPJ71" s="166"/>
      <c r="BPK71" s="166"/>
      <c r="BPL71" s="166"/>
      <c r="BPM71" s="166"/>
      <c r="BPN71" s="166"/>
      <c r="BPO71" s="166"/>
      <c r="BPP71" s="166"/>
      <c r="BPQ71" s="166"/>
      <c r="BPR71" s="166"/>
      <c r="BPS71" s="166"/>
      <c r="BPT71" s="166"/>
      <c r="BPU71" s="166"/>
      <c r="BPV71" s="166"/>
      <c r="BPW71" s="166"/>
      <c r="BPX71" s="166"/>
      <c r="BPY71" s="166"/>
      <c r="BPZ71" s="166"/>
      <c r="BQA71" s="166"/>
      <c r="BQB71" s="166"/>
      <c r="BQC71" s="166"/>
      <c r="BQD71" s="166"/>
      <c r="BQE71" s="166"/>
      <c r="BQF71" s="166"/>
      <c r="BQG71" s="166"/>
      <c r="BQH71" s="166"/>
      <c r="BQI71" s="166"/>
      <c r="BQJ71" s="166"/>
      <c r="BQK71" s="166"/>
      <c r="BQL71" s="166"/>
      <c r="BQM71" s="166"/>
      <c r="BQN71" s="166"/>
      <c r="BQO71" s="166"/>
      <c r="BQP71" s="166"/>
      <c r="BQQ71" s="166"/>
      <c r="BQR71" s="166"/>
      <c r="BQS71" s="166"/>
      <c r="BQT71" s="166"/>
      <c r="BQU71" s="166"/>
      <c r="BQV71" s="166"/>
      <c r="BQW71" s="166"/>
      <c r="BQX71" s="166"/>
      <c r="BQY71" s="166"/>
      <c r="BQZ71" s="166"/>
      <c r="BRA71" s="166"/>
      <c r="BRB71" s="166"/>
      <c r="BRC71" s="166"/>
      <c r="BRD71" s="166"/>
      <c r="BRE71" s="166"/>
      <c r="BRF71" s="166"/>
      <c r="BRG71" s="166"/>
      <c r="BRH71" s="166"/>
      <c r="BRI71" s="166"/>
      <c r="BRJ71" s="166"/>
      <c r="BRK71" s="166"/>
      <c r="BRL71" s="166"/>
      <c r="BRM71" s="166"/>
      <c r="BRN71" s="166"/>
      <c r="BRO71" s="166"/>
      <c r="BRP71" s="166"/>
      <c r="BRQ71" s="166"/>
      <c r="BRR71" s="166"/>
      <c r="BRS71" s="166"/>
      <c r="BRT71" s="166"/>
      <c r="BRU71" s="166"/>
      <c r="BRV71" s="166"/>
      <c r="BRW71" s="166"/>
      <c r="BRX71" s="166"/>
      <c r="BRY71" s="166"/>
      <c r="BRZ71" s="166"/>
      <c r="BSA71" s="166"/>
      <c r="BSB71" s="166"/>
      <c r="BSC71" s="166"/>
      <c r="BSD71" s="166"/>
      <c r="BSE71" s="166"/>
      <c r="BSF71" s="166"/>
      <c r="BSG71" s="166"/>
      <c r="BSH71" s="166"/>
      <c r="BSI71" s="166"/>
      <c r="BSJ71" s="166"/>
      <c r="BSK71" s="166"/>
      <c r="BSL71" s="166"/>
      <c r="BSM71" s="166"/>
      <c r="BSN71" s="166"/>
      <c r="BSO71" s="166"/>
      <c r="BSP71" s="166"/>
      <c r="BSQ71" s="166"/>
      <c r="BSR71" s="166"/>
      <c r="BSS71" s="166"/>
    </row>
    <row r="72" spans="1:1865" ht="20.100000000000001" customHeight="1" x14ac:dyDescent="0.25">
      <c r="A72" s="100" t="s">
        <v>21</v>
      </c>
      <c r="B72" s="63"/>
      <c r="C72" s="208"/>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165"/>
      <c r="BHG72" s="166"/>
      <c r="BHH72" s="166"/>
      <c r="BHI72" s="166"/>
      <c r="BHJ72" s="166"/>
      <c r="BHK72" s="166"/>
      <c r="BHL72" s="166"/>
      <c r="BHM72" s="166"/>
      <c r="BHN72" s="166"/>
      <c r="BHO72" s="166"/>
      <c r="BHP72" s="166"/>
      <c r="BHQ72" s="166"/>
      <c r="BHR72" s="166"/>
      <c r="BHS72" s="166"/>
      <c r="BHT72" s="166"/>
      <c r="BHU72" s="166"/>
      <c r="BHV72" s="166"/>
      <c r="BHW72" s="166"/>
      <c r="BHX72" s="166"/>
      <c r="BHY72" s="166"/>
      <c r="BHZ72" s="166"/>
      <c r="BIA72" s="166"/>
      <c r="BIB72" s="166"/>
      <c r="BIC72" s="166"/>
      <c r="BID72" s="166"/>
      <c r="BIE72" s="166"/>
      <c r="BIF72" s="166"/>
      <c r="BIG72" s="166"/>
      <c r="BIH72" s="166"/>
      <c r="BII72" s="166"/>
      <c r="BIJ72" s="166"/>
      <c r="BIK72" s="166"/>
      <c r="BIL72" s="166"/>
      <c r="BIM72" s="166"/>
      <c r="BIN72" s="166"/>
      <c r="BIO72" s="166"/>
      <c r="BIP72" s="166"/>
      <c r="BIQ72" s="166"/>
      <c r="BIR72" s="166"/>
      <c r="BIS72" s="166"/>
      <c r="BIT72" s="166"/>
      <c r="BIU72" s="166"/>
      <c r="BIV72" s="166"/>
      <c r="BIW72" s="166"/>
      <c r="BIX72" s="166"/>
      <c r="BIY72" s="166"/>
      <c r="BIZ72" s="166"/>
      <c r="BJA72" s="166"/>
      <c r="BJB72" s="166"/>
      <c r="BJC72" s="166"/>
      <c r="BJD72" s="166"/>
      <c r="BJE72" s="166"/>
      <c r="BJF72" s="166"/>
      <c r="BJG72" s="166"/>
      <c r="BJH72" s="166"/>
      <c r="BJI72" s="166"/>
      <c r="BJJ72" s="166"/>
      <c r="BJK72" s="166"/>
      <c r="BJL72" s="166"/>
      <c r="BJM72" s="166"/>
      <c r="BJN72" s="166"/>
      <c r="BJO72" s="166"/>
      <c r="BJP72" s="166"/>
      <c r="BJQ72" s="166"/>
      <c r="BJR72" s="166"/>
      <c r="BJS72" s="166"/>
      <c r="BJT72" s="166"/>
      <c r="BJU72" s="166"/>
      <c r="BJV72" s="166"/>
      <c r="BJW72" s="166"/>
      <c r="BJX72" s="166"/>
      <c r="BJY72" s="166"/>
      <c r="BJZ72" s="166"/>
      <c r="BKA72" s="166"/>
      <c r="BKB72" s="166"/>
      <c r="BKC72" s="166"/>
      <c r="BKD72" s="166"/>
      <c r="BKE72" s="166"/>
      <c r="BKF72" s="166"/>
      <c r="BKG72" s="166"/>
      <c r="BKH72" s="166"/>
      <c r="BKI72" s="166"/>
      <c r="BKJ72" s="166"/>
      <c r="BKK72" s="166"/>
      <c r="BKL72" s="166"/>
      <c r="BKM72" s="166"/>
      <c r="BKN72" s="166"/>
      <c r="BKO72" s="166"/>
      <c r="BKP72" s="166"/>
      <c r="BKQ72" s="166"/>
      <c r="BKR72" s="166"/>
      <c r="BKS72" s="166"/>
      <c r="BKT72" s="166"/>
      <c r="BKU72" s="166"/>
      <c r="BKV72" s="166"/>
      <c r="BKW72" s="166"/>
      <c r="BKX72" s="166"/>
      <c r="BKY72" s="166"/>
      <c r="BKZ72" s="166"/>
      <c r="BLA72" s="166"/>
      <c r="BLB72" s="166"/>
      <c r="BLC72" s="166"/>
      <c r="BLD72" s="166"/>
      <c r="BLE72" s="166"/>
      <c r="BLF72" s="166"/>
      <c r="BLG72" s="166"/>
      <c r="BLH72" s="166"/>
      <c r="BLI72" s="166"/>
      <c r="BLJ72" s="166"/>
      <c r="BLK72" s="166"/>
      <c r="BLL72" s="166"/>
      <c r="BLM72" s="166"/>
      <c r="BLN72" s="166"/>
      <c r="BLO72" s="166"/>
      <c r="BLP72" s="166"/>
      <c r="BLQ72" s="166"/>
      <c r="BLR72" s="166"/>
      <c r="BLS72" s="166"/>
      <c r="BLT72" s="166"/>
      <c r="BLU72" s="166"/>
      <c r="BLV72" s="166"/>
      <c r="BLW72" s="166"/>
      <c r="BLX72" s="166"/>
      <c r="BLY72" s="166"/>
      <c r="BLZ72" s="166"/>
      <c r="BMA72" s="166"/>
      <c r="BMB72" s="166"/>
      <c r="BMC72" s="166"/>
      <c r="BMD72" s="166"/>
      <c r="BME72" s="166"/>
      <c r="BMF72" s="166"/>
      <c r="BMG72" s="166"/>
      <c r="BMH72" s="166"/>
      <c r="BMI72" s="166"/>
      <c r="BMJ72" s="166"/>
      <c r="BMK72" s="166"/>
      <c r="BML72" s="166"/>
      <c r="BMM72" s="166"/>
      <c r="BMN72" s="166"/>
      <c r="BMO72" s="166"/>
      <c r="BMP72" s="166"/>
      <c r="BMQ72" s="166"/>
      <c r="BMR72" s="166"/>
      <c r="BMS72" s="166"/>
      <c r="BMT72" s="166"/>
      <c r="BMU72" s="166"/>
      <c r="BMV72" s="166"/>
      <c r="BMW72" s="166"/>
      <c r="BMX72" s="166"/>
      <c r="BMY72" s="166"/>
      <c r="BMZ72" s="166"/>
      <c r="BNA72" s="166"/>
      <c r="BNB72" s="166"/>
      <c r="BNC72" s="166"/>
      <c r="BND72" s="166"/>
      <c r="BNE72" s="166"/>
      <c r="BNF72" s="166"/>
      <c r="BNG72" s="166"/>
      <c r="BNH72" s="166"/>
      <c r="BNI72" s="166"/>
      <c r="BNJ72" s="166"/>
      <c r="BNK72" s="166"/>
      <c r="BNL72" s="166"/>
      <c r="BNM72" s="166"/>
      <c r="BNN72" s="166"/>
      <c r="BNO72" s="166"/>
      <c r="BNP72" s="166"/>
      <c r="BNQ72" s="166"/>
      <c r="BNR72" s="166"/>
      <c r="BNS72" s="166"/>
      <c r="BNT72" s="166"/>
      <c r="BNU72" s="166"/>
      <c r="BNV72" s="166"/>
      <c r="BNW72" s="166"/>
      <c r="BNX72" s="166"/>
      <c r="BNY72" s="166"/>
      <c r="BNZ72" s="166"/>
      <c r="BOA72" s="166"/>
      <c r="BOB72" s="166"/>
      <c r="BOC72" s="166"/>
      <c r="BOD72" s="166"/>
      <c r="BOE72" s="166"/>
      <c r="BOF72" s="166"/>
      <c r="BOG72" s="166"/>
      <c r="BOH72" s="166"/>
      <c r="BOI72" s="166"/>
      <c r="BOJ72" s="166"/>
      <c r="BOK72" s="166"/>
      <c r="BOL72" s="166"/>
      <c r="BOM72" s="166"/>
      <c r="BON72" s="166"/>
      <c r="BOO72" s="166"/>
      <c r="BOP72" s="166"/>
      <c r="BOQ72" s="166"/>
      <c r="BOR72" s="166"/>
      <c r="BOS72" s="166"/>
      <c r="BOT72" s="166"/>
      <c r="BOU72" s="166"/>
      <c r="BOV72" s="166"/>
      <c r="BOW72" s="166"/>
      <c r="BOX72" s="166"/>
      <c r="BOY72" s="166"/>
      <c r="BOZ72" s="166"/>
      <c r="BPA72" s="166"/>
      <c r="BPB72" s="166"/>
      <c r="BPC72" s="166"/>
      <c r="BPD72" s="166"/>
      <c r="BPE72" s="166"/>
      <c r="BPF72" s="166"/>
      <c r="BPG72" s="166"/>
      <c r="BPH72" s="166"/>
      <c r="BPI72" s="166"/>
      <c r="BPJ72" s="166"/>
      <c r="BPK72" s="166"/>
      <c r="BPL72" s="166"/>
      <c r="BPM72" s="166"/>
      <c r="BPN72" s="166"/>
      <c r="BPO72" s="166"/>
      <c r="BPP72" s="166"/>
      <c r="BPQ72" s="166"/>
      <c r="BPR72" s="166"/>
      <c r="BPS72" s="166"/>
      <c r="BPT72" s="166"/>
      <c r="BPU72" s="166"/>
      <c r="BPV72" s="166"/>
      <c r="BPW72" s="166"/>
      <c r="BPX72" s="166"/>
      <c r="BPY72" s="166"/>
      <c r="BPZ72" s="166"/>
      <c r="BQA72" s="166"/>
      <c r="BQB72" s="166"/>
      <c r="BQC72" s="166"/>
      <c r="BQD72" s="166"/>
      <c r="BQE72" s="166"/>
      <c r="BQF72" s="166"/>
      <c r="BQG72" s="166"/>
      <c r="BQH72" s="166"/>
      <c r="BQI72" s="166"/>
      <c r="BQJ72" s="166"/>
      <c r="BQK72" s="166"/>
      <c r="BQL72" s="166"/>
      <c r="BQM72" s="166"/>
      <c r="BQN72" s="166"/>
      <c r="BQO72" s="166"/>
      <c r="BQP72" s="166"/>
      <c r="BQQ72" s="166"/>
      <c r="BQR72" s="166"/>
      <c r="BQS72" s="166"/>
      <c r="BQT72" s="166"/>
      <c r="BQU72" s="166"/>
      <c r="BQV72" s="166"/>
      <c r="BQW72" s="166"/>
      <c r="BQX72" s="166"/>
      <c r="BQY72" s="166"/>
      <c r="BQZ72" s="166"/>
      <c r="BRA72" s="166"/>
      <c r="BRB72" s="166"/>
      <c r="BRC72" s="166"/>
      <c r="BRD72" s="166"/>
      <c r="BRE72" s="166"/>
      <c r="BRF72" s="166"/>
      <c r="BRG72" s="166"/>
      <c r="BRH72" s="166"/>
      <c r="BRI72" s="166"/>
      <c r="BRJ72" s="166"/>
      <c r="BRK72" s="166"/>
      <c r="BRL72" s="166"/>
      <c r="BRM72" s="166"/>
      <c r="BRN72" s="166"/>
      <c r="BRO72" s="166"/>
      <c r="BRP72" s="166"/>
      <c r="BRQ72" s="166"/>
      <c r="BRR72" s="166"/>
      <c r="BRS72" s="166"/>
      <c r="BRT72" s="166"/>
      <c r="BRU72" s="166"/>
      <c r="BRV72" s="166"/>
      <c r="BRW72" s="166"/>
      <c r="BRX72" s="166"/>
      <c r="BRY72" s="166"/>
      <c r="BRZ72" s="166"/>
      <c r="BSA72" s="166"/>
      <c r="BSB72" s="166"/>
      <c r="BSC72" s="166"/>
      <c r="BSD72" s="166"/>
      <c r="BSE72" s="166"/>
      <c r="BSF72" s="166"/>
      <c r="BSG72" s="166"/>
      <c r="BSH72" s="166"/>
      <c r="BSI72" s="166"/>
      <c r="BSJ72" s="166"/>
      <c r="BSK72" s="166"/>
      <c r="BSL72" s="166"/>
      <c r="BSM72" s="166"/>
      <c r="BSN72" s="166"/>
      <c r="BSO72" s="166"/>
      <c r="BSP72" s="166"/>
      <c r="BSQ72" s="166"/>
      <c r="BSR72" s="166"/>
      <c r="BSS72" s="166"/>
    </row>
    <row r="73" spans="1:1865" ht="20.100000000000001" customHeight="1" x14ac:dyDescent="0.25">
      <c r="A73" s="100" t="s">
        <v>20</v>
      </c>
      <c r="B73" s="63"/>
      <c r="C73" s="207"/>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165"/>
      <c r="BHG73" s="166"/>
      <c r="BHH73" s="166"/>
      <c r="BHI73" s="166"/>
      <c r="BHJ73" s="166"/>
      <c r="BHK73" s="166"/>
      <c r="BHL73" s="166"/>
      <c r="BHM73" s="166"/>
      <c r="BHN73" s="166"/>
      <c r="BHO73" s="166"/>
      <c r="BHP73" s="166"/>
      <c r="BHQ73" s="166"/>
      <c r="BHR73" s="166"/>
      <c r="BHS73" s="166"/>
      <c r="BHT73" s="166"/>
      <c r="BHU73" s="166"/>
      <c r="BHV73" s="166"/>
      <c r="BHW73" s="166"/>
      <c r="BHX73" s="166"/>
      <c r="BHY73" s="166"/>
      <c r="BHZ73" s="166"/>
      <c r="BIA73" s="166"/>
      <c r="BIB73" s="166"/>
      <c r="BIC73" s="166"/>
      <c r="BID73" s="166"/>
      <c r="BIE73" s="166"/>
      <c r="BIF73" s="166"/>
      <c r="BIG73" s="166"/>
      <c r="BIH73" s="166"/>
      <c r="BII73" s="166"/>
      <c r="BIJ73" s="166"/>
      <c r="BIK73" s="166"/>
      <c r="BIL73" s="166"/>
      <c r="BIM73" s="166"/>
      <c r="BIN73" s="166"/>
      <c r="BIO73" s="166"/>
      <c r="BIP73" s="166"/>
      <c r="BIQ73" s="166"/>
      <c r="BIR73" s="166"/>
      <c r="BIS73" s="166"/>
      <c r="BIT73" s="166"/>
      <c r="BIU73" s="166"/>
      <c r="BIV73" s="166"/>
      <c r="BIW73" s="166"/>
      <c r="BIX73" s="166"/>
      <c r="BIY73" s="166"/>
      <c r="BIZ73" s="166"/>
      <c r="BJA73" s="166"/>
      <c r="BJB73" s="166"/>
      <c r="BJC73" s="166"/>
      <c r="BJD73" s="166"/>
      <c r="BJE73" s="166"/>
      <c r="BJF73" s="166"/>
      <c r="BJG73" s="166"/>
      <c r="BJH73" s="166"/>
      <c r="BJI73" s="166"/>
      <c r="BJJ73" s="166"/>
      <c r="BJK73" s="166"/>
      <c r="BJL73" s="166"/>
      <c r="BJM73" s="166"/>
      <c r="BJN73" s="166"/>
      <c r="BJO73" s="166"/>
      <c r="BJP73" s="166"/>
      <c r="BJQ73" s="166"/>
      <c r="BJR73" s="166"/>
      <c r="BJS73" s="166"/>
      <c r="BJT73" s="166"/>
      <c r="BJU73" s="166"/>
      <c r="BJV73" s="166"/>
      <c r="BJW73" s="166"/>
      <c r="BJX73" s="166"/>
      <c r="BJY73" s="166"/>
      <c r="BJZ73" s="166"/>
      <c r="BKA73" s="166"/>
      <c r="BKB73" s="166"/>
      <c r="BKC73" s="166"/>
      <c r="BKD73" s="166"/>
      <c r="BKE73" s="166"/>
      <c r="BKF73" s="166"/>
      <c r="BKG73" s="166"/>
      <c r="BKH73" s="166"/>
      <c r="BKI73" s="166"/>
      <c r="BKJ73" s="166"/>
      <c r="BKK73" s="166"/>
      <c r="BKL73" s="166"/>
      <c r="BKM73" s="166"/>
      <c r="BKN73" s="166"/>
      <c r="BKO73" s="166"/>
      <c r="BKP73" s="166"/>
      <c r="BKQ73" s="166"/>
      <c r="BKR73" s="166"/>
      <c r="BKS73" s="166"/>
      <c r="BKT73" s="166"/>
      <c r="BKU73" s="166"/>
      <c r="BKV73" s="166"/>
      <c r="BKW73" s="166"/>
      <c r="BKX73" s="166"/>
      <c r="BKY73" s="166"/>
      <c r="BKZ73" s="166"/>
      <c r="BLA73" s="166"/>
      <c r="BLB73" s="166"/>
      <c r="BLC73" s="166"/>
      <c r="BLD73" s="166"/>
      <c r="BLE73" s="166"/>
      <c r="BLF73" s="166"/>
      <c r="BLG73" s="166"/>
      <c r="BLH73" s="166"/>
      <c r="BLI73" s="166"/>
      <c r="BLJ73" s="166"/>
      <c r="BLK73" s="166"/>
      <c r="BLL73" s="166"/>
      <c r="BLM73" s="166"/>
      <c r="BLN73" s="166"/>
      <c r="BLO73" s="166"/>
      <c r="BLP73" s="166"/>
      <c r="BLQ73" s="166"/>
      <c r="BLR73" s="166"/>
      <c r="BLS73" s="166"/>
      <c r="BLT73" s="166"/>
      <c r="BLU73" s="166"/>
      <c r="BLV73" s="166"/>
      <c r="BLW73" s="166"/>
      <c r="BLX73" s="166"/>
      <c r="BLY73" s="166"/>
      <c r="BLZ73" s="166"/>
      <c r="BMA73" s="166"/>
      <c r="BMB73" s="166"/>
      <c r="BMC73" s="166"/>
      <c r="BMD73" s="166"/>
      <c r="BME73" s="166"/>
      <c r="BMF73" s="166"/>
      <c r="BMG73" s="166"/>
      <c r="BMH73" s="166"/>
      <c r="BMI73" s="166"/>
      <c r="BMJ73" s="166"/>
      <c r="BMK73" s="166"/>
      <c r="BML73" s="166"/>
      <c r="BMM73" s="166"/>
      <c r="BMN73" s="166"/>
      <c r="BMO73" s="166"/>
      <c r="BMP73" s="166"/>
      <c r="BMQ73" s="166"/>
      <c r="BMR73" s="166"/>
      <c r="BMS73" s="166"/>
      <c r="BMT73" s="166"/>
      <c r="BMU73" s="166"/>
      <c r="BMV73" s="166"/>
      <c r="BMW73" s="166"/>
      <c r="BMX73" s="166"/>
      <c r="BMY73" s="166"/>
      <c r="BMZ73" s="166"/>
      <c r="BNA73" s="166"/>
      <c r="BNB73" s="166"/>
      <c r="BNC73" s="166"/>
      <c r="BND73" s="166"/>
      <c r="BNE73" s="166"/>
      <c r="BNF73" s="166"/>
      <c r="BNG73" s="166"/>
      <c r="BNH73" s="166"/>
      <c r="BNI73" s="166"/>
      <c r="BNJ73" s="166"/>
      <c r="BNK73" s="166"/>
      <c r="BNL73" s="166"/>
      <c r="BNM73" s="166"/>
      <c r="BNN73" s="166"/>
      <c r="BNO73" s="166"/>
      <c r="BNP73" s="166"/>
      <c r="BNQ73" s="166"/>
      <c r="BNR73" s="166"/>
      <c r="BNS73" s="166"/>
      <c r="BNT73" s="166"/>
      <c r="BNU73" s="166"/>
      <c r="BNV73" s="166"/>
      <c r="BNW73" s="166"/>
      <c r="BNX73" s="166"/>
      <c r="BNY73" s="166"/>
      <c r="BNZ73" s="166"/>
      <c r="BOA73" s="166"/>
      <c r="BOB73" s="166"/>
      <c r="BOC73" s="166"/>
      <c r="BOD73" s="166"/>
      <c r="BOE73" s="166"/>
      <c r="BOF73" s="166"/>
      <c r="BOG73" s="166"/>
      <c r="BOH73" s="166"/>
      <c r="BOI73" s="166"/>
      <c r="BOJ73" s="166"/>
      <c r="BOK73" s="166"/>
      <c r="BOL73" s="166"/>
      <c r="BOM73" s="166"/>
      <c r="BON73" s="166"/>
      <c r="BOO73" s="166"/>
      <c r="BOP73" s="166"/>
      <c r="BOQ73" s="166"/>
      <c r="BOR73" s="166"/>
      <c r="BOS73" s="166"/>
      <c r="BOT73" s="166"/>
      <c r="BOU73" s="166"/>
      <c r="BOV73" s="166"/>
      <c r="BOW73" s="166"/>
      <c r="BOX73" s="166"/>
      <c r="BOY73" s="166"/>
      <c r="BOZ73" s="166"/>
      <c r="BPA73" s="166"/>
      <c r="BPB73" s="166"/>
      <c r="BPC73" s="166"/>
      <c r="BPD73" s="166"/>
      <c r="BPE73" s="166"/>
      <c r="BPF73" s="166"/>
      <c r="BPG73" s="166"/>
      <c r="BPH73" s="166"/>
      <c r="BPI73" s="166"/>
      <c r="BPJ73" s="166"/>
      <c r="BPK73" s="166"/>
      <c r="BPL73" s="166"/>
      <c r="BPM73" s="166"/>
      <c r="BPN73" s="166"/>
      <c r="BPO73" s="166"/>
      <c r="BPP73" s="166"/>
      <c r="BPQ73" s="166"/>
      <c r="BPR73" s="166"/>
      <c r="BPS73" s="166"/>
      <c r="BPT73" s="166"/>
      <c r="BPU73" s="166"/>
      <c r="BPV73" s="166"/>
      <c r="BPW73" s="166"/>
      <c r="BPX73" s="166"/>
      <c r="BPY73" s="166"/>
      <c r="BPZ73" s="166"/>
      <c r="BQA73" s="166"/>
      <c r="BQB73" s="166"/>
      <c r="BQC73" s="166"/>
      <c r="BQD73" s="166"/>
      <c r="BQE73" s="166"/>
      <c r="BQF73" s="166"/>
      <c r="BQG73" s="166"/>
      <c r="BQH73" s="166"/>
      <c r="BQI73" s="166"/>
      <c r="BQJ73" s="166"/>
      <c r="BQK73" s="166"/>
      <c r="BQL73" s="166"/>
      <c r="BQM73" s="166"/>
      <c r="BQN73" s="166"/>
      <c r="BQO73" s="166"/>
      <c r="BQP73" s="166"/>
      <c r="BQQ73" s="166"/>
      <c r="BQR73" s="166"/>
      <c r="BQS73" s="166"/>
      <c r="BQT73" s="166"/>
      <c r="BQU73" s="166"/>
      <c r="BQV73" s="166"/>
      <c r="BQW73" s="166"/>
      <c r="BQX73" s="166"/>
      <c r="BQY73" s="166"/>
      <c r="BQZ73" s="166"/>
      <c r="BRA73" s="166"/>
      <c r="BRB73" s="166"/>
      <c r="BRC73" s="166"/>
      <c r="BRD73" s="166"/>
      <c r="BRE73" s="166"/>
      <c r="BRF73" s="166"/>
      <c r="BRG73" s="166"/>
      <c r="BRH73" s="166"/>
      <c r="BRI73" s="166"/>
      <c r="BRJ73" s="166"/>
      <c r="BRK73" s="166"/>
      <c r="BRL73" s="166"/>
      <c r="BRM73" s="166"/>
      <c r="BRN73" s="166"/>
      <c r="BRO73" s="166"/>
      <c r="BRP73" s="166"/>
      <c r="BRQ73" s="166"/>
      <c r="BRR73" s="166"/>
      <c r="BRS73" s="166"/>
      <c r="BRT73" s="166"/>
      <c r="BRU73" s="166"/>
      <c r="BRV73" s="166"/>
      <c r="BRW73" s="166"/>
      <c r="BRX73" s="166"/>
      <c r="BRY73" s="166"/>
      <c r="BRZ73" s="166"/>
      <c r="BSA73" s="166"/>
      <c r="BSB73" s="166"/>
      <c r="BSC73" s="166"/>
      <c r="BSD73" s="166"/>
      <c r="BSE73" s="166"/>
      <c r="BSF73" s="166"/>
      <c r="BSG73" s="166"/>
      <c r="BSH73" s="166"/>
      <c r="BSI73" s="166"/>
      <c r="BSJ73" s="166"/>
      <c r="BSK73" s="166"/>
      <c r="BSL73" s="166"/>
      <c r="BSM73" s="166"/>
      <c r="BSN73" s="166"/>
      <c r="BSO73" s="166"/>
      <c r="BSP73" s="166"/>
      <c r="BSQ73" s="166"/>
      <c r="BSR73" s="166"/>
      <c r="BSS73" s="166"/>
    </row>
    <row r="74" spans="1:1865" ht="20.100000000000001" customHeight="1" x14ac:dyDescent="0.3">
      <c r="A74" s="100" t="s">
        <v>21</v>
      </c>
      <c r="B74" s="63"/>
      <c r="C74" s="218"/>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165"/>
      <c r="BHG74" s="166"/>
      <c r="BHH74" s="166"/>
      <c r="BHI74" s="166"/>
      <c r="BHJ74" s="166"/>
      <c r="BHK74" s="166"/>
      <c r="BHL74" s="166"/>
      <c r="BHM74" s="166"/>
      <c r="BHN74" s="166"/>
      <c r="BHO74" s="166"/>
      <c r="BHP74" s="166"/>
      <c r="BHQ74" s="166"/>
      <c r="BHR74" s="166"/>
      <c r="BHS74" s="166"/>
      <c r="BHT74" s="166"/>
      <c r="BHU74" s="166"/>
      <c r="BHV74" s="166"/>
      <c r="BHW74" s="166"/>
      <c r="BHX74" s="166"/>
      <c r="BHY74" s="166"/>
      <c r="BHZ74" s="166"/>
      <c r="BIA74" s="166"/>
      <c r="BIB74" s="166"/>
      <c r="BIC74" s="166"/>
      <c r="BID74" s="166"/>
      <c r="BIE74" s="166"/>
      <c r="BIF74" s="166"/>
      <c r="BIG74" s="166"/>
      <c r="BIH74" s="166"/>
      <c r="BII74" s="166"/>
      <c r="BIJ74" s="166"/>
      <c r="BIK74" s="166"/>
      <c r="BIL74" s="166"/>
      <c r="BIM74" s="166"/>
      <c r="BIN74" s="166"/>
      <c r="BIO74" s="166"/>
      <c r="BIP74" s="166"/>
      <c r="BIQ74" s="166"/>
      <c r="BIR74" s="166"/>
      <c r="BIS74" s="166"/>
      <c r="BIT74" s="166"/>
      <c r="BIU74" s="166"/>
      <c r="BIV74" s="166"/>
      <c r="BIW74" s="166"/>
      <c r="BIX74" s="166"/>
      <c r="BIY74" s="166"/>
      <c r="BIZ74" s="166"/>
      <c r="BJA74" s="166"/>
      <c r="BJB74" s="166"/>
      <c r="BJC74" s="166"/>
      <c r="BJD74" s="166"/>
      <c r="BJE74" s="166"/>
      <c r="BJF74" s="166"/>
      <c r="BJG74" s="166"/>
      <c r="BJH74" s="166"/>
      <c r="BJI74" s="166"/>
      <c r="BJJ74" s="166"/>
      <c r="BJK74" s="166"/>
      <c r="BJL74" s="166"/>
      <c r="BJM74" s="166"/>
      <c r="BJN74" s="166"/>
      <c r="BJO74" s="166"/>
      <c r="BJP74" s="166"/>
      <c r="BJQ74" s="166"/>
      <c r="BJR74" s="166"/>
      <c r="BJS74" s="166"/>
      <c r="BJT74" s="166"/>
      <c r="BJU74" s="166"/>
      <c r="BJV74" s="166"/>
      <c r="BJW74" s="166"/>
      <c r="BJX74" s="166"/>
      <c r="BJY74" s="166"/>
      <c r="BJZ74" s="166"/>
      <c r="BKA74" s="166"/>
      <c r="BKB74" s="166"/>
      <c r="BKC74" s="166"/>
      <c r="BKD74" s="166"/>
      <c r="BKE74" s="166"/>
      <c r="BKF74" s="166"/>
      <c r="BKG74" s="166"/>
      <c r="BKH74" s="166"/>
      <c r="BKI74" s="166"/>
      <c r="BKJ74" s="166"/>
      <c r="BKK74" s="166"/>
      <c r="BKL74" s="166"/>
      <c r="BKM74" s="166"/>
      <c r="BKN74" s="166"/>
      <c r="BKO74" s="166"/>
      <c r="BKP74" s="166"/>
      <c r="BKQ74" s="166"/>
      <c r="BKR74" s="166"/>
      <c r="BKS74" s="166"/>
      <c r="BKT74" s="166"/>
      <c r="BKU74" s="166"/>
      <c r="BKV74" s="166"/>
      <c r="BKW74" s="166"/>
      <c r="BKX74" s="166"/>
      <c r="BKY74" s="166"/>
      <c r="BKZ74" s="166"/>
      <c r="BLA74" s="166"/>
      <c r="BLB74" s="166"/>
      <c r="BLC74" s="166"/>
      <c r="BLD74" s="166"/>
      <c r="BLE74" s="166"/>
      <c r="BLF74" s="166"/>
      <c r="BLG74" s="166"/>
      <c r="BLH74" s="166"/>
      <c r="BLI74" s="166"/>
      <c r="BLJ74" s="166"/>
      <c r="BLK74" s="166"/>
      <c r="BLL74" s="166"/>
      <c r="BLM74" s="166"/>
      <c r="BLN74" s="166"/>
      <c r="BLO74" s="166"/>
      <c r="BLP74" s="166"/>
      <c r="BLQ74" s="166"/>
      <c r="BLR74" s="166"/>
      <c r="BLS74" s="166"/>
      <c r="BLT74" s="166"/>
      <c r="BLU74" s="166"/>
      <c r="BLV74" s="166"/>
      <c r="BLW74" s="166"/>
      <c r="BLX74" s="166"/>
      <c r="BLY74" s="166"/>
      <c r="BLZ74" s="166"/>
      <c r="BMA74" s="166"/>
      <c r="BMB74" s="166"/>
      <c r="BMC74" s="166"/>
      <c r="BMD74" s="166"/>
      <c r="BME74" s="166"/>
      <c r="BMF74" s="166"/>
      <c r="BMG74" s="166"/>
      <c r="BMH74" s="166"/>
      <c r="BMI74" s="166"/>
      <c r="BMJ74" s="166"/>
      <c r="BMK74" s="166"/>
      <c r="BML74" s="166"/>
      <c r="BMM74" s="166"/>
      <c r="BMN74" s="166"/>
      <c r="BMO74" s="166"/>
      <c r="BMP74" s="166"/>
      <c r="BMQ74" s="166"/>
      <c r="BMR74" s="166"/>
      <c r="BMS74" s="166"/>
      <c r="BMT74" s="166"/>
      <c r="BMU74" s="166"/>
      <c r="BMV74" s="166"/>
      <c r="BMW74" s="166"/>
      <c r="BMX74" s="166"/>
      <c r="BMY74" s="166"/>
      <c r="BMZ74" s="166"/>
      <c r="BNA74" s="166"/>
      <c r="BNB74" s="166"/>
      <c r="BNC74" s="166"/>
      <c r="BND74" s="166"/>
      <c r="BNE74" s="166"/>
      <c r="BNF74" s="166"/>
      <c r="BNG74" s="166"/>
      <c r="BNH74" s="166"/>
      <c r="BNI74" s="166"/>
      <c r="BNJ74" s="166"/>
      <c r="BNK74" s="166"/>
      <c r="BNL74" s="166"/>
      <c r="BNM74" s="166"/>
      <c r="BNN74" s="166"/>
      <c r="BNO74" s="166"/>
      <c r="BNP74" s="166"/>
      <c r="BNQ74" s="166"/>
      <c r="BNR74" s="166"/>
      <c r="BNS74" s="166"/>
      <c r="BNT74" s="166"/>
      <c r="BNU74" s="166"/>
      <c r="BNV74" s="166"/>
      <c r="BNW74" s="166"/>
      <c r="BNX74" s="166"/>
      <c r="BNY74" s="166"/>
      <c r="BNZ74" s="166"/>
      <c r="BOA74" s="166"/>
      <c r="BOB74" s="166"/>
      <c r="BOC74" s="166"/>
      <c r="BOD74" s="166"/>
      <c r="BOE74" s="166"/>
      <c r="BOF74" s="166"/>
      <c r="BOG74" s="166"/>
      <c r="BOH74" s="166"/>
      <c r="BOI74" s="166"/>
      <c r="BOJ74" s="166"/>
      <c r="BOK74" s="166"/>
      <c r="BOL74" s="166"/>
      <c r="BOM74" s="166"/>
      <c r="BON74" s="166"/>
      <c r="BOO74" s="166"/>
      <c r="BOP74" s="166"/>
      <c r="BOQ74" s="166"/>
      <c r="BOR74" s="166"/>
      <c r="BOS74" s="166"/>
      <c r="BOT74" s="166"/>
      <c r="BOU74" s="166"/>
      <c r="BOV74" s="166"/>
      <c r="BOW74" s="166"/>
      <c r="BOX74" s="166"/>
      <c r="BOY74" s="166"/>
      <c r="BOZ74" s="166"/>
      <c r="BPA74" s="166"/>
      <c r="BPB74" s="166"/>
      <c r="BPC74" s="166"/>
      <c r="BPD74" s="166"/>
      <c r="BPE74" s="166"/>
      <c r="BPF74" s="166"/>
      <c r="BPG74" s="166"/>
      <c r="BPH74" s="166"/>
      <c r="BPI74" s="166"/>
      <c r="BPJ74" s="166"/>
      <c r="BPK74" s="166"/>
      <c r="BPL74" s="166"/>
      <c r="BPM74" s="166"/>
      <c r="BPN74" s="166"/>
      <c r="BPO74" s="166"/>
      <c r="BPP74" s="166"/>
      <c r="BPQ74" s="166"/>
      <c r="BPR74" s="166"/>
      <c r="BPS74" s="166"/>
      <c r="BPT74" s="166"/>
      <c r="BPU74" s="166"/>
      <c r="BPV74" s="166"/>
      <c r="BPW74" s="166"/>
      <c r="BPX74" s="166"/>
      <c r="BPY74" s="166"/>
      <c r="BPZ74" s="166"/>
      <c r="BQA74" s="166"/>
      <c r="BQB74" s="166"/>
      <c r="BQC74" s="166"/>
      <c r="BQD74" s="166"/>
      <c r="BQE74" s="166"/>
      <c r="BQF74" s="166"/>
      <c r="BQG74" s="166"/>
      <c r="BQH74" s="166"/>
      <c r="BQI74" s="166"/>
      <c r="BQJ74" s="166"/>
      <c r="BQK74" s="166"/>
      <c r="BQL74" s="166"/>
      <c r="BQM74" s="166"/>
      <c r="BQN74" s="166"/>
      <c r="BQO74" s="166"/>
      <c r="BQP74" s="166"/>
      <c r="BQQ74" s="166"/>
      <c r="BQR74" s="166"/>
      <c r="BQS74" s="166"/>
      <c r="BQT74" s="166"/>
      <c r="BQU74" s="166"/>
      <c r="BQV74" s="166"/>
      <c r="BQW74" s="166"/>
      <c r="BQX74" s="166"/>
      <c r="BQY74" s="166"/>
      <c r="BQZ74" s="166"/>
      <c r="BRA74" s="166"/>
      <c r="BRB74" s="166"/>
      <c r="BRC74" s="166"/>
      <c r="BRD74" s="166"/>
      <c r="BRE74" s="166"/>
      <c r="BRF74" s="166"/>
      <c r="BRG74" s="166"/>
      <c r="BRH74" s="166"/>
      <c r="BRI74" s="166"/>
      <c r="BRJ74" s="166"/>
      <c r="BRK74" s="166"/>
      <c r="BRL74" s="166"/>
      <c r="BRM74" s="166"/>
      <c r="BRN74" s="166"/>
      <c r="BRO74" s="166"/>
      <c r="BRP74" s="166"/>
      <c r="BRQ74" s="166"/>
      <c r="BRR74" s="166"/>
      <c r="BRS74" s="166"/>
      <c r="BRT74" s="166"/>
      <c r="BRU74" s="166"/>
      <c r="BRV74" s="166"/>
      <c r="BRW74" s="166"/>
      <c r="BRX74" s="166"/>
      <c r="BRY74" s="166"/>
      <c r="BRZ74" s="166"/>
      <c r="BSA74" s="166"/>
      <c r="BSB74" s="166"/>
      <c r="BSC74" s="166"/>
      <c r="BSD74" s="166"/>
      <c r="BSE74" s="166"/>
      <c r="BSF74" s="166"/>
      <c r="BSG74" s="166"/>
      <c r="BSH74" s="166"/>
      <c r="BSI74" s="166"/>
      <c r="BSJ74" s="166"/>
      <c r="BSK74" s="166"/>
      <c r="BSL74" s="166"/>
      <c r="BSM74" s="166"/>
      <c r="BSN74" s="166"/>
      <c r="BSO74" s="166"/>
      <c r="BSP74" s="166"/>
      <c r="BSQ74" s="166"/>
      <c r="BSR74" s="166"/>
      <c r="BSS74" s="166"/>
    </row>
    <row r="75" spans="1:1865" ht="20.100000000000001" customHeight="1" x14ac:dyDescent="0.25">
      <c r="A75" s="100" t="s">
        <v>20</v>
      </c>
      <c r="B75" s="63"/>
      <c r="C75" s="207"/>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165"/>
      <c r="BHG75" s="166"/>
      <c r="BHH75" s="166"/>
      <c r="BHI75" s="166"/>
      <c r="BHJ75" s="166"/>
      <c r="BHK75" s="166"/>
      <c r="BHL75" s="166"/>
      <c r="BHM75" s="166"/>
      <c r="BHN75" s="166"/>
      <c r="BHO75" s="166"/>
      <c r="BHP75" s="166"/>
      <c r="BHQ75" s="166"/>
      <c r="BHR75" s="166"/>
      <c r="BHS75" s="166"/>
      <c r="BHT75" s="166"/>
      <c r="BHU75" s="166"/>
      <c r="BHV75" s="166"/>
      <c r="BHW75" s="166"/>
      <c r="BHX75" s="166"/>
      <c r="BHY75" s="166"/>
      <c r="BHZ75" s="166"/>
      <c r="BIA75" s="166"/>
      <c r="BIB75" s="166"/>
      <c r="BIC75" s="166"/>
      <c r="BID75" s="166"/>
      <c r="BIE75" s="166"/>
      <c r="BIF75" s="166"/>
      <c r="BIG75" s="166"/>
      <c r="BIH75" s="166"/>
      <c r="BII75" s="166"/>
      <c r="BIJ75" s="166"/>
      <c r="BIK75" s="166"/>
      <c r="BIL75" s="166"/>
      <c r="BIM75" s="166"/>
      <c r="BIN75" s="166"/>
      <c r="BIO75" s="166"/>
      <c r="BIP75" s="166"/>
      <c r="BIQ75" s="166"/>
      <c r="BIR75" s="166"/>
      <c r="BIS75" s="166"/>
      <c r="BIT75" s="166"/>
      <c r="BIU75" s="166"/>
      <c r="BIV75" s="166"/>
      <c r="BIW75" s="166"/>
      <c r="BIX75" s="166"/>
      <c r="BIY75" s="166"/>
      <c r="BIZ75" s="166"/>
      <c r="BJA75" s="166"/>
      <c r="BJB75" s="166"/>
      <c r="BJC75" s="166"/>
      <c r="BJD75" s="166"/>
      <c r="BJE75" s="166"/>
      <c r="BJF75" s="166"/>
      <c r="BJG75" s="166"/>
      <c r="BJH75" s="166"/>
      <c r="BJI75" s="166"/>
      <c r="BJJ75" s="166"/>
      <c r="BJK75" s="166"/>
      <c r="BJL75" s="166"/>
      <c r="BJM75" s="166"/>
      <c r="BJN75" s="166"/>
      <c r="BJO75" s="166"/>
      <c r="BJP75" s="166"/>
      <c r="BJQ75" s="166"/>
      <c r="BJR75" s="166"/>
      <c r="BJS75" s="166"/>
      <c r="BJT75" s="166"/>
      <c r="BJU75" s="166"/>
      <c r="BJV75" s="166"/>
      <c r="BJW75" s="166"/>
      <c r="BJX75" s="166"/>
      <c r="BJY75" s="166"/>
      <c r="BJZ75" s="166"/>
      <c r="BKA75" s="166"/>
      <c r="BKB75" s="166"/>
      <c r="BKC75" s="166"/>
      <c r="BKD75" s="166"/>
      <c r="BKE75" s="166"/>
      <c r="BKF75" s="166"/>
      <c r="BKG75" s="166"/>
      <c r="BKH75" s="166"/>
      <c r="BKI75" s="166"/>
      <c r="BKJ75" s="166"/>
      <c r="BKK75" s="166"/>
      <c r="BKL75" s="166"/>
      <c r="BKM75" s="166"/>
      <c r="BKN75" s="166"/>
      <c r="BKO75" s="166"/>
      <c r="BKP75" s="166"/>
      <c r="BKQ75" s="166"/>
      <c r="BKR75" s="166"/>
      <c r="BKS75" s="166"/>
      <c r="BKT75" s="166"/>
      <c r="BKU75" s="166"/>
      <c r="BKV75" s="166"/>
      <c r="BKW75" s="166"/>
      <c r="BKX75" s="166"/>
      <c r="BKY75" s="166"/>
      <c r="BKZ75" s="166"/>
      <c r="BLA75" s="166"/>
      <c r="BLB75" s="166"/>
      <c r="BLC75" s="166"/>
      <c r="BLD75" s="166"/>
      <c r="BLE75" s="166"/>
      <c r="BLF75" s="166"/>
      <c r="BLG75" s="166"/>
      <c r="BLH75" s="166"/>
      <c r="BLI75" s="166"/>
      <c r="BLJ75" s="166"/>
      <c r="BLK75" s="166"/>
      <c r="BLL75" s="166"/>
      <c r="BLM75" s="166"/>
      <c r="BLN75" s="166"/>
      <c r="BLO75" s="166"/>
      <c r="BLP75" s="166"/>
      <c r="BLQ75" s="166"/>
      <c r="BLR75" s="166"/>
      <c r="BLS75" s="166"/>
      <c r="BLT75" s="166"/>
      <c r="BLU75" s="166"/>
      <c r="BLV75" s="166"/>
      <c r="BLW75" s="166"/>
      <c r="BLX75" s="166"/>
      <c r="BLY75" s="166"/>
      <c r="BLZ75" s="166"/>
      <c r="BMA75" s="166"/>
      <c r="BMB75" s="166"/>
      <c r="BMC75" s="166"/>
      <c r="BMD75" s="166"/>
      <c r="BME75" s="166"/>
      <c r="BMF75" s="166"/>
      <c r="BMG75" s="166"/>
      <c r="BMH75" s="166"/>
      <c r="BMI75" s="166"/>
      <c r="BMJ75" s="166"/>
      <c r="BMK75" s="166"/>
      <c r="BML75" s="166"/>
      <c r="BMM75" s="166"/>
      <c r="BMN75" s="166"/>
      <c r="BMO75" s="166"/>
      <c r="BMP75" s="166"/>
      <c r="BMQ75" s="166"/>
      <c r="BMR75" s="166"/>
      <c r="BMS75" s="166"/>
      <c r="BMT75" s="166"/>
      <c r="BMU75" s="166"/>
      <c r="BMV75" s="166"/>
      <c r="BMW75" s="166"/>
      <c r="BMX75" s="166"/>
      <c r="BMY75" s="166"/>
      <c r="BMZ75" s="166"/>
      <c r="BNA75" s="166"/>
      <c r="BNB75" s="166"/>
      <c r="BNC75" s="166"/>
      <c r="BND75" s="166"/>
      <c r="BNE75" s="166"/>
      <c r="BNF75" s="166"/>
      <c r="BNG75" s="166"/>
      <c r="BNH75" s="166"/>
      <c r="BNI75" s="166"/>
      <c r="BNJ75" s="166"/>
      <c r="BNK75" s="166"/>
      <c r="BNL75" s="166"/>
      <c r="BNM75" s="166"/>
      <c r="BNN75" s="166"/>
      <c r="BNO75" s="166"/>
      <c r="BNP75" s="166"/>
      <c r="BNQ75" s="166"/>
      <c r="BNR75" s="166"/>
      <c r="BNS75" s="166"/>
      <c r="BNT75" s="166"/>
      <c r="BNU75" s="166"/>
      <c r="BNV75" s="166"/>
      <c r="BNW75" s="166"/>
      <c r="BNX75" s="166"/>
      <c r="BNY75" s="166"/>
      <c r="BNZ75" s="166"/>
      <c r="BOA75" s="166"/>
      <c r="BOB75" s="166"/>
      <c r="BOC75" s="166"/>
      <c r="BOD75" s="166"/>
      <c r="BOE75" s="166"/>
      <c r="BOF75" s="166"/>
      <c r="BOG75" s="166"/>
      <c r="BOH75" s="166"/>
      <c r="BOI75" s="166"/>
      <c r="BOJ75" s="166"/>
      <c r="BOK75" s="166"/>
      <c r="BOL75" s="166"/>
      <c r="BOM75" s="166"/>
      <c r="BON75" s="166"/>
      <c r="BOO75" s="166"/>
      <c r="BOP75" s="166"/>
      <c r="BOQ75" s="166"/>
      <c r="BOR75" s="166"/>
      <c r="BOS75" s="166"/>
      <c r="BOT75" s="166"/>
      <c r="BOU75" s="166"/>
      <c r="BOV75" s="166"/>
      <c r="BOW75" s="166"/>
      <c r="BOX75" s="166"/>
      <c r="BOY75" s="166"/>
      <c r="BOZ75" s="166"/>
      <c r="BPA75" s="166"/>
      <c r="BPB75" s="166"/>
      <c r="BPC75" s="166"/>
      <c r="BPD75" s="166"/>
      <c r="BPE75" s="166"/>
      <c r="BPF75" s="166"/>
      <c r="BPG75" s="166"/>
      <c r="BPH75" s="166"/>
      <c r="BPI75" s="166"/>
      <c r="BPJ75" s="166"/>
      <c r="BPK75" s="166"/>
      <c r="BPL75" s="166"/>
      <c r="BPM75" s="166"/>
      <c r="BPN75" s="166"/>
      <c r="BPO75" s="166"/>
      <c r="BPP75" s="166"/>
      <c r="BPQ75" s="166"/>
      <c r="BPR75" s="166"/>
      <c r="BPS75" s="166"/>
      <c r="BPT75" s="166"/>
      <c r="BPU75" s="166"/>
      <c r="BPV75" s="166"/>
      <c r="BPW75" s="166"/>
      <c r="BPX75" s="166"/>
      <c r="BPY75" s="166"/>
      <c r="BPZ75" s="166"/>
      <c r="BQA75" s="166"/>
      <c r="BQB75" s="166"/>
      <c r="BQC75" s="166"/>
      <c r="BQD75" s="166"/>
      <c r="BQE75" s="166"/>
      <c r="BQF75" s="166"/>
      <c r="BQG75" s="166"/>
      <c r="BQH75" s="166"/>
      <c r="BQI75" s="166"/>
      <c r="BQJ75" s="166"/>
      <c r="BQK75" s="166"/>
      <c r="BQL75" s="166"/>
      <c r="BQM75" s="166"/>
      <c r="BQN75" s="166"/>
      <c r="BQO75" s="166"/>
      <c r="BQP75" s="166"/>
      <c r="BQQ75" s="166"/>
      <c r="BQR75" s="166"/>
      <c r="BQS75" s="166"/>
      <c r="BQT75" s="166"/>
      <c r="BQU75" s="166"/>
      <c r="BQV75" s="166"/>
      <c r="BQW75" s="166"/>
      <c r="BQX75" s="166"/>
      <c r="BQY75" s="166"/>
      <c r="BQZ75" s="166"/>
      <c r="BRA75" s="166"/>
      <c r="BRB75" s="166"/>
      <c r="BRC75" s="166"/>
      <c r="BRD75" s="166"/>
      <c r="BRE75" s="166"/>
      <c r="BRF75" s="166"/>
      <c r="BRG75" s="166"/>
      <c r="BRH75" s="166"/>
      <c r="BRI75" s="166"/>
      <c r="BRJ75" s="166"/>
      <c r="BRK75" s="166"/>
      <c r="BRL75" s="166"/>
      <c r="BRM75" s="166"/>
      <c r="BRN75" s="166"/>
      <c r="BRO75" s="166"/>
      <c r="BRP75" s="166"/>
      <c r="BRQ75" s="166"/>
      <c r="BRR75" s="166"/>
      <c r="BRS75" s="166"/>
      <c r="BRT75" s="166"/>
      <c r="BRU75" s="166"/>
      <c r="BRV75" s="166"/>
      <c r="BRW75" s="166"/>
      <c r="BRX75" s="166"/>
      <c r="BRY75" s="166"/>
      <c r="BRZ75" s="166"/>
      <c r="BSA75" s="166"/>
      <c r="BSB75" s="166"/>
      <c r="BSC75" s="166"/>
      <c r="BSD75" s="166"/>
      <c r="BSE75" s="166"/>
      <c r="BSF75" s="166"/>
      <c r="BSG75" s="166"/>
      <c r="BSH75" s="166"/>
      <c r="BSI75" s="166"/>
      <c r="BSJ75" s="166"/>
      <c r="BSK75" s="166"/>
      <c r="BSL75" s="166"/>
      <c r="BSM75" s="166"/>
      <c r="BSN75" s="166"/>
      <c r="BSO75" s="166"/>
      <c r="BSP75" s="166"/>
      <c r="BSQ75" s="166"/>
      <c r="BSR75" s="166"/>
      <c r="BSS75" s="166"/>
    </row>
    <row r="76" spans="1:1865" ht="20.100000000000001" customHeight="1" x14ac:dyDescent="0.3">
      <c r="A76" s="100" t="s">
        <v>21</v>
      </c>
      <c r="B76" s="63"/>
      <c r="C76" s="218"/>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165"/>
      <c r="BHG76" s="166"/>
      <c r="BHH76" s="166"/>
      <c r="BHI76" s="166"/>
      <c r="BHJ76" s="166"/>
      <c r="BHK76" s="166"/>
      <c r="BHL76" s="166"/>
      <c r="BHM76" s="166"/>
      <c r="BHN76" s="166"/>
      <c r="BHO76" s="166"/>
      <c r="BHP76" s="166"/>
      <c r="BHQ76" s="166"/>
      <c r="BHR76" s="166"/>
      <c r="BHS76" s="166"/>
      <c r="BHT76" s="166"/>
      <c r="BHU76" s="166"/>
      <c r="BHV76" s="166"/>
      <c r="BHW76" s="166"/>
      <c r="BHX76" s="166"/>
      <c r="BHY76" s="166"/>
      <c r="BHZ76" s="166"/>
      <c r="BIA76" s="166"/>
      <c r="BIB76" s="166"/>
      <c r="BIC76" s="166"/>
      <c r="BID76" s="166"/>
      <c r="BIE76" s="166"/>
      <c r="BIF76" s="166"/>
      <c r="BIG76" s="166"/>
      <c r="BIH76" s="166"/>
      <c r="BII76" s="166"/>
      <c r="BIJ76" s="166"/>
      <c r="BIK76" s="166"/>
      <c r="BIL76" s="166"/>
      <c r="BIM76" s="166"/>
      <c r="BIN76" s="166"/>
      <c r="BIO76" s="166"/>
      <c r="BIP76" s="166"/>
      <c r="BIQ76" s="166"/>
      <c r="BIR76" s="166"/>
      <c r="BIS76" s="166"/>
      <c r="BIT76" s="166"/>
      <c r="BIU76" s="166"/>
      <c r="BIV76" s="166"/>
      <c r="BIW76" s="166"/>
      <c r="BIX76" s="166"/>
      <c r="BIY76" s="166"/>
      <c r="BIZ76" s="166"/>
      <c r="BJA76" s="166"/>
      <c r="BJB76" s="166"/>
      <c r="BJC76" s="166"/>
      <c r="BJD76" s="166"/>
      <c r="BJE76" s="166"/>
      <c r="BJF76" s="166"/>
      <c r="BJG76" s="166"/>
      <c r="BJH76" s="166"/>
      <c r="BJI76" s="166"/>
      <c r="BJJ76" s="166"/>
      <c r="BJK76" s="166"/>
      <c r="BJL76" s="166"/>
      <c r="BJM76" s="166"/>
      <c r="BJN76" s="166"/>
      <c r="BJO76" s="166"/>
      <c r="BJP76" s="166"/>
      <c r="BJQ76" s="166"/>
      <c r="BJR76" s="166"/>
      <c r="BJS76" s="166"/>
      <c r="BJT76" s="166"/>
      <c r="BJU76" s="166"/>
      <c r="BJV76" s="166"/>
      <c r="BJW76" s="166"/>
      <c r="BJX76" s="166"/>
      <c r="BJY76" s="166"/>
      <c r="BJZ76" s="166"/>
      <c r="BKA76" s="166"/>
      <c r="BKB76" s="166"/>
      <c r="BKC76" s="166"/>
      <c r="BKD76" s="166"/>
      <c r="BKE76" s="166"/>
      <c r="BKF76" s="166"/>
      <c r="BKG76" s="166"/>
      <c r="BKH76" s="166"/>
      <c r="BKI76" s="166"/>
      <c r="BKJ76" s="166"/>
      <c r="BKK76" s="166"/>
      <c r="BKL76" s="166"/>
      <c r="BKM76" s="166"/>
      <c r="BKN76" s="166"/>
      <c r="BKO76" s="166"/>
      <c r="BKP76" s="166"/>
      <c r="BKQ76" s="166"/>
      <c r="BKR76" s="166"/>
      <c r="BKS76" s="166"/>
      <c r="BKT76" s="166"/>
      <c r="BKU76" s="166"/>
      <c r="BKV76" s="166"/>
      <c r="BKW76" s="166"/>
      <c r="BKX76" s="166"/>
      <c r="BKY76" s="166"/>
      <c r="BKZ76" s="166"/>
      <c r="BLA76" s="166"/>
      <c r="BLB76" s="166"/>
      <c r="BLC76" s="166"/>
      <c r="BLD76" s="166"/>
      <c r="BLE76" s="166"/>
      <c r="BLF76" s="166"/>
      <c r="BLG76" s="166"/>
      <c r="BLH76" s="166"/>
      <c r="BLI76" s="166"/>
      <c r="BLJ76" s="166"/>
      <c r="BLK76" s="166"/>
      <c r="BLL76" s="166"/>
      <c r="BLM76" s="166"/>
      <c r="BLN76" s="166"/>
      <c r="BLO76" s="166"/>
      <c r="BLP76" s="166"/>
      <c r="BLQ76" s="166"/>
      <c r="BLR76" s="166"/>
      <c r="BLS76" s="166"/>
      <c r="BLT76" s="166"/>
      <c r="BLU76" s="166"/>
      <c r="BLV76" s="166"/>
      <c r="BLW76" s="166"/>
      <c r="BLX76" s="166"/>
      <c r="BLY76" s="166"/>
      <c r="BLZ76" s="166"/>
      <c r="BMA76" s="166"/>
      <c r="BMB76" s="166"/>
      <c r="BMC76" s="166"/>
      <c r="BMD76" s="166"/>
      <c r="BME76" s="166"/>
      <c r="BMF76" s="166"/>
      <c r="BMG76" s="166"/>
      <c r="BMH76" s="166"/>
      <c r="BMI76" s="166"/>
      <c r="BMJ76" s="166"/>
      <c r="BMK76" s="166"/>
      <c r="BML76" s="166"/>
      <c r="BMM76" s="166"/>
      <c r="BMN76" s="166"/>
      <c r="BMO76" s="166"/>
      <c r="BMP76" s="166"/>
      <c r="BMQ76" s="166"/>
      <c r="BMR76" s="166"/>
      <c r="BMS76" s="166"/>
      <c r="BMT76" s="166"/>
      <c r="BMU76" s="166"/>
      <c r="BMV76" s="166"/>
      <c r="BMW76" s="166"/>
      <c r="BMX76" s="166"/>
      <c r="BMY76" s="166"/>
      <c r="BMZ76" s="166"/>
      <c r="BNA76" s="166"/>
      <c r="BNB76" s="166"/>
      <c r="BNC76" s="166"/>
      <c r="BND76" s="166"/>
      <c r="BNE76" s="166"/>
      <c r="BNF76" s="166"/>
      <c r="BNG76" s="166"/>
      <c r="BNH76" s="166"/>
      <c r="BNI76" s="166"/>
      <c r="BNJ76" s="166"/>
      <c r="BNK76" s="166"/>
      <c r="BNL76" s="166"/>
      <c r="BNM76" s="166"/>
      <c r="BNN76" s="166"/>
      <c r="BNO76" s="166"/>
      <c r="BNP76" s="166"/>
      <c r="BNQ76" s="166"/>
      <c r="BNR76" s="166"/>
      <c r="BNS76" s="166"/>
      <c r="BNT76" s="166"/>
      <c r="BNU76" s="166"/>
      <c r="BNV76" s="166"/>
      <c r="BNW76" s="166"/>
      <c r="BNX76" s="166"/>
      <c r="BNY76" s="166"/>
      <c r="BNZ76" s="166"/>
      <c r="BOA76" s="166"/>
      <c r="BOB76" s="166"/>
      <c r="BOC76" s="166"/>
      <c r="BOD76" s="166"/>
      <c r="BOE76" s="166"/>
      <c r="BOF76" s="166"/>
      <c r="BOG76" s="166"/>
      <c r="BOH76" s="166"/>
      <c r="BOI76" s="166"/>
      <c r="BOJ76" s="166"/>
      <c r="BOK76" s="166"/>
      <c r="BOL76" s="166"/>
      <c r="BOM76" s="166"/>
      <c r="BON76" s="166"/>
      <c r="BOO76" s="166"/>
      <c r="BOP76" s="166"/>
      <c r="BOQ76" s="166"/>
      <c r="BOR76" s="166"/>
      <c r="BOS76" s="166"/>
      <c r="BOT76" s="166"/>
      <c r="BOU76" s="166"/>
      <c r="BOV76" s="166"/>
      <c r="BOW76" s="166"/>
      <c r="BOX76" s="166"/>
      <c r="BOY76" s="166"/>
      <c r="BOZ76" s="166"/>
      <c r="BPA76" s="166"/>
      <c r="BPB76" s="166"/>
      <c r="BPC76" s="166"/>
      <c r="BPD76" s="166"/>
      <c r="BPE76" s="166"/>
      <c r="BPF76" s="166"/>
      <c r="BPG76" s="166"/>
      <c r="BPH76" s="166"/>
      <c r="BPI76" s="166"/>
      <c r="BPJ76" s="166"/>
      <c r="BPK76" s="166"/>
      <c r="BPL76" s="166"/>
      <c r="BPM76" s="166"/>
      <c r="BPN76" s="166"/>
      <c r="BPO76" s="166"/>
      <c r="BPP76" s="166"/>
      <c r="BPQ76" s="166"/>
      <c r="BPR76" s="166"/>
      <c r="BPS76" s="166"/>
      <c r="BPT76" s="166"/>
      <c r="BPU76" s="166"/>
      <c r="BPV76" s="166"/>
      <c r="BPW76" s="166"/>
      <c r="BPX76" s="166"/>
      <c r="BPY76" s="166"/>
      <c r="BPZ76" s="166"/>
      <c r="BQA76" s="166"/>
      <c r="BQB76" s="166"/>
      <c r="BQC76" s="166"/>
      <c r="BQD76" s="166"/>
      <c r="BQE76" s="166"/>
      <c r="BQF76" s="166"/>
      <c r="BQG76" s="166"/>
      <c r="BQH76" s="166"/>
      <c r="BQI76" s="166"/>
      <c r="BQJ76" s="166"/>
      <c r="BQK76" s="166"/>
      <c r="BQL76" s="166"/>
      <c r="BQM76" s="166"/>
      <c r="BQN76" s="166"/>
      <c r="BQO76" s="166"/>
      <c r="BQP76" s="166"/>
      <c r="BQQ76" s="166"/>
      <c r="BQR76" s="166"/>
      <c r="BQS76" s="166"/>
      <c r="BQT76" s="166"/>
      <c r="BQU76" s="166"/>
      <c r="BQV76" s="166"/>
      <c r="BQW76" s="166"/>
      <c r="BQX76" s="166"/>
      <c r="BQY76" s="166"/>
      <c r="BQZ76" s="166"/>
      <c r="BRA76" s="166"/>
      <c r="BRB76" s="166"/>
      <c r="BRC76" s="166"/>
      <c r="BRD76" s="166"/>
      <c r="BRE76" s="166"/>
      <c r="BRF76" s="166"/>
      <c r="BRG76" s="166"/>
      <c r="BRH76" s="166"/>
      <c r="BRI76" s="166"/>
      <c r="BRJ76" s="166"/>
      <c r="BRK76" s="166"/>
      <c r="BRL76" s="166"/>
      <c r="BRM76" s="166"/>
      <c r="BRN76" s="166"/>
      <c r="BRO76" s="166"/>
      <c r="BRP76" s="166"/>
      <c r="BRQ76" s="166"/>
      <c r="BRR76" s="166"/>
      <c r="BRS76" s="166"/>
      <c r="BRT76" s="166"/>
      <c r="BRU76" s="166"/>
      <c r="BRV76" s="166"/>
      <c r="BRW76" s="166"/>
      <c r="BRX76" s="166"/>
      <c r="BRY76" s="166"/>
      <c r="BRZ76" s="166"/>
      <c r="BSA76" s="166"/>
      <c r="BSB76" s="166"/>
      <c r="BSC76" s="166"/>
      <c r="BSD76" s="166"/>
      <c r="BSE76" s="166"/>
      <c r="BSF76" s="166"/>
      <c r="BSG76" s="166"/>
      <c r="BSH76" s="166"/>
      <c r="BSI76" s="166"/>
      <c r="BSJ76" s="166"/>
      <c r="BSK76" s="166"/>
      <c r="BSL76" s="166"/>
      <c r="BSM76" s="166"/>
      <c r="BSN76" s="166"/>
      <c r="BSO76" s="166"/>
      <c r="BSP76" s="166"/>
      <c r="BSQ76" s="166"/>
      <c r="BSR76" s="166"/>
      <c r="BSS76" s="166"/>
    </row>
    <row r="77" spans="1:1865" ht="20.100000000000001" customHeight="1" x14ac:dyDescent="0.25">
      <c r="A77" s="100" t="s">
        <v>20</v>
      </c>
      <c r="B77" s="63"/>
      <c r="C77" s="207"/>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165"/>
      <c r="BHG77" s="166"/>
      <c r="BHH77" s="166"/>
      <c r="BHI77" s="166"/>
      <c r="BHJ77" s="166"/>
      <c r="BHK77" s="166"/>
      <c r="BHL77" s="166"/>
      <c r="BHM77" s="166"/>
      <c r="BHN77" s="166"/>
      <c r="BHO77" s="166"/>
      <c r="BHP77" s="166"/>
      <c r="BHQ77" s="166"/>
      <c r="BHR77" s="166"/>
      <c r="BHS77" s="166"/>
      <c r="BHT77" s="166"/>
      <c r="BHU77" s="166"/>
      <c r="BHV77" s="166"/>
      <c r="BHW77" s="166"/>
      <c r="BHX77" s="166"/>
      <c r="BHY77" s="166"/>
      <c r="BHZ77" s="166"/>
      <c r="BIA77" s="166"/>
      <c r="BIB77" s="166"/>
      <c r="BIC77" s="166"/>
      <c r="BID77" s="166"/>
      <c r="BIE77" s="166"/>
      <c r="BIF77" s="166"/>
      <c r="BIG77" s="166"/>
      <c r="BIH77" s="166"/>
      <c r="BII77" s="166"/>
      <c r="BIJ77" s="166"/>
      <c r="BIK77" s="166"/>
      <c r="BIL77" s="166"/>
      <c r="BIM77" s="166"/>
      <c r="BIN77" s="166"/>
      <c r="BIO77" s="166"/>
      <c r="BIP77" s="166"/>
      <c r="BIQ77" s="166"/>
      <c r="BIR77" s="166"/>
      <c r="BIS77" s="166"/>
      <c r="BIT77" s="166"/>
      <c r="BIU77" s="166"/>
      <c r="BIV77" s="166"/>
      <c r="BIW77" s="166"/>
      <c r="BIX77" s="166"/>
      <c r="BIY77" s="166"/>
      <c r="BIZ77" s="166"/>
      <c r="BJA77" s="166"/>
      <c r="BJB77" s="166"/>
      <c r="BJC77" s="166"/>
      <c r="BJD77" s="166"/>
      <c r="BJE77" s="166"/>
      <c r="BJF77" s="166"/>
      <c r="BJG77" s="166"/>
      <c r="BJH77" s="166"/>
      <c r="BJI77" s="166"/>
      <c r="BJJ77" s="166"/>
      <c r="BJK77" s="166"/>
      <c r="BJL77" s="166"/>
      <c r="BJM77" s="166"/>
      <c r="BJN77" s="166"/>
      <c r="BJO77" s="166"/>
      <c r="BJP77" s="166"/>
      <c r="BJQ77" s="166"/>
      <c r="BJR77" s="166"/>
      <c r="BJS77" s="166"/>
      <c r="BJT77" s="166"/>
      <c r="BJU77" s="166"/>
      <c r="BJV77" s="166"/>
      <c r="BJW77" s="166"/>
      <c r="BJX77" s="166"/>
      <c r="BJY77" s="166"/>
      <c r="BJZ77" s="166"/>
      <c r="BKA77" s="166"/>
      <c r="BKB77" s="166"/>
      <c r="BKC77" s="166"/>
      <c r="BKD77" s="166"/>
      <c r="BKE77" s="166"/>
      <c r="BKF77" s="166"/>
      <c r="BKG77" s="166"/>
      <c r="BKH77" s="166"/>
      <c r="BKI77" s="166"/>
      <c r="BKJ77" s="166"/>
      <c r="BKK77" s="166"/>
      <c r="BKL77" s="166"/>
      <c r="BKM77" s="166"/>
      <c r="BKN77" s="166"/>
      <c r="BKO77" s="166"/>
      <c r="BKP77" s="166"/>
      <c r="BKQ77" s="166"/>
      <c r="BKR77" s="166"/>
      <c r="BKS77" s="166"/>
      <c r="BKT77" s="166"/>
      <c r="BKU77" s="166"/>
      <c r="BKV77" s="166"/>
      <c r="BKW77" s="166"/>
      <c r="BKX77" s="166"/>
      <c r="BKY77" s="166"/>
      <c r="BKZ77" s="166"/>
      <c r="BLA77" s="166"/>
      <c r="BLB77" s="166"/>
      <c r="BLC77" s="166"/>
      <c r="BLD77" s="166"/>
      <c r="BLE77" s="166"/>
      <c r="BLF77" s="166"/>
      <c r="BLG77" s="166"/>
      <c r="BLH77" s="166"/>
      <c r="BLI77" s="166"/>
      <c r="BLJ77" s="166"/>
      <c r="BLK77" s="166"/>
      <c r="BLL77" s="166"/>
      <c r="BLM77" s="166"/>
      <c r="BLN77" s="166"/>
      <c r="BLO77" s="166"/>
      <c r="BLP77" s="166"/>
      <c r="BLQ77" s="166"/>
      <c r="BLR77" s="166"/>
      <c r="BLS77" s="166"/>
      <c r="BLT77" s="166"/>
      <c r="BLU77" s="166"/>
      <c r="BLV77" s="166"/>
      <c r="BLW77" s="166"/>
      <c r="BLX77" s="166"/>
      <c r="BLY77" s="166"/>
      <c r="BLZ77" s="166"/>
      <c r="BMA77" s="166"/>
      <c r="BMB77" s="166"/>
      <c r="BMC77" s="166"/>
      <c r="BMD77" s="166"/>
      <c r="BME77" s="166"/>
      <c r="BMF77" s="166"/>
      <c r="BMG77" s="166"/>
      <c r="BMH77" s="166"/>
      <c r="BMI77" s="166"/>
      <c r="BMJ77" s="166"/>
      <c r="BMK77" s="166"/>
      <c r="BML77" s="166"/>
      <c r="BMM77" s="166"/>
      <c r="BMN77" s="166"/>
      <c r="BMO77" s="166"/>
      <c r="BMP77" s="166"/>
      <c r="BMQ77" s="166"/>
      <c r="BMR77" s="166"/>
      <c r="BMS77" s="166"/>
      <c r="BMT77" s="166"/>
      <c r="BMU77" s="166"/>
      <c r="BMV77" s="166"/>
      <c r="BMW77" s="166"/>
      <c r="BMX77" s="166"/>
      <c r="BMY77" s="166"/>
      <c r="BMZ77" s="166"/>
      <c r="BNA77" s="166"/>
      <c r="BNB77" s="166"/>
      <c r="BNC77" s="166"/>
      <c r="BND77" s="166"/>
      <c r="BNE77" s="166"/>
      <c r="BNF77" s="166"/>
      <c r="BNG77" s="166"/>
      <c r="BNH77" s="166"/>
      <c r="BNI77" s="166"/>
      <c r="BNJ77" s="166"/>
      <c r="BNK77" s="166"/>
      <c r="BNL77" s="166"/>
      <c r="BNM77" s="166"/>
      <c r="BNN77" s="166"/>
      <c r="BNO77" s="166"/>
      <c r="BNP77" s="166"/>
      <c r="BNQ77" s="166"/>
      <c r="BNR77" s="166"/>
      <c r="BNS77" s="166"/>
      <c r="BNT77" s="166"/>
      <c r="BNU77" s="166"/>
      <c r="BNV77" s="166"/>
      <c r="BNW77" s="166"/>
      <c r="BNX77" s="166"/>
      <c r="BNY77" s="166"/>
      <c r="BNZ77" s="166"/>
      <c r="BOA77" s="166"/>
      <c r="BOB77" s="166"/>
      <c r="BOC77" s="166"/>
      <c r="BOD77" s="166"/>
      <c r="BOE77" s="166"/>
      <c r="BOF77" s="166"/>
      <c r="BOG77" s="166"/>
      <c r="BOH77" s="166"/>
      <c r="BOI77" s="166"/>
      <c r="BOJ77" s="166"/>
      <c r="BOK77" s="166"/>
      <c r="BOL77" s="166"/>
      <c r="BOM77" s="166"/>
      <c r="BON77" s="166"/>
      <c r="BOO77" s="166"/>
      <c r="BOP77" s="166"/>
      <c r="BOQ77" s="166"/>
      <c r="BOR77" s="166"/>
      <c r="BOS77" s="166"/>
      <c r="BOT77" s="166"/>
      <c r="BOU77" s="166"/>
      <c r="BOV77" s="166"/>
      <c r="BOW77" s="166"/>
      <c r="BOX77" s="166"/>
      <c r="BOY77" s="166"/>
      <c r="BOZ77" s="166"/>
      <c r="BPA77" s="166"/>
      <c r="BPB77" s="166"/>
      <c r="BPC77" s="166"/>
      <c r="BPD77" s="166"/>
      <c r="BPE77" s="166"/>
      <c r="BPF77" s="166"/>
      <c r="BPG77" s="166"/>
      <c r="BPH77" s="166"/>
      <c r="BPI77" s="166"/>
      <c r="BPJ77" s="166"/>
      <c r="BPK77" s="166"/>
      <c r="BPL77" s="166"/>
      <c r="BPM77" s="166"/>
      <c r="BPN77" s="166"/>
      <c r="BPO77" s="166"/>
      <c r="BPP77" s="166"/>
      <c r="BPQ77" s="166"/>
      <c r="BPR77" s="166"/>
      <c r="BPS77" s="166"/>
      <c r="BPT77" s="166"/>
      <c r="BPU77" s="166"/>
      <c r="BPV77" s="166"/>
      <c r="BPW77" s="166"/>
      <c r="BPX77" s="166"/>
      <c r="BPY77" s="166"/>
      <c r="BPZ77" s="166"/>
      <c r="BQA77" s="166"/>
      <c r="BQB77" s="166"/>
      <c r="BQC77" s="166"/>
      <c r="BQD77" s="166"/>
      <c r="BQE77" s="166"/>
      <c r="BQF77" s="166"/>
      <c r="BQG77" s="166"/>
      <c r="BQH77" s="166"/>
      <c r="BQI77" s="166"/>
      <c r="BQJ77" s="166"/>
      <c r="BQK77" s="166"/>
      <c r="BQL77" s="166"/>
      <c r="BQM77" s="166"/>
      <c r="BQN77" s="166"/>
      <c r="BQO77" s="166"/>
      <c r="BQP77" s="166"/>
      <c r="BQQ77" s="166"/>
      <c r="BQR77" s="166"/>
      <c r="BQS77" s="166"/>
      <c r="BQT77" s="166"/>
      <c r="BQU77" s="166"/>
      <c r="BQV77" s="166"/>
      <c r="BQW77" s="166"/>
      <c r="BQX77" s="166"/>
      <c r="BQY77" s="166"/>
      <c r="BQZ77" s="166"/>
      <c r="BRA77" s="166"/>
      <c r="BRB77" s="166"/>
      <c r="BRC77" s="166"/>
      <c r="BRD77" s="166"/>
      <c r="BRE77" s="166"/>
      <c r="BRF77" s="166"/>
      <c r="BRG77" s="166"/>
      <c r="BRH77" s="166"/>
      <c r="BRI77" s="166"/>
      <c r="BRJ77" s="166"/>
      <c r="BRK77" s="166"/>
      <c r="BRL77" s="166"/>
      <c r="BRM77" s="166"/>
      <c r="BRN77" s="166"/>
      <c r="BRO77" s="166"/>
      <c r="BRP77" s="166"/>
      <c r="BRQ77" s="166"/>
      <c r="BRR77" s="166"/>
      <c r="BRS77" s="166"/>
      <c r="BRT77" s="166"/>
      <c r="BRU77" s="166"/>
      <c r="BRV77" s="166"/>
      <c r="BRW77" s="166"/>
      <c r="BRX77" s="166"/>
      <c r="BRY77" s="166"/>
      <c r="BRZ77" s="166"/>
      <c r="BSA77" s="166"/>
      <c r="BSB77" s="166"/>
      <c r="BSC77" s="166"/>
      <c r="BSD77" s="166"/>
      <c r="BSE77" s="166"/>
      <c r="BSF77" s="166"/>
      <c r="BSG77" s="166"/>
      <c r="BSH77" s="166"/>
      <c r="BSI77" s="166"/>
      <c r="BSJ77" s="166"/>
      <c r="BSK77" s="166"/>
      <c r="BSL77" s="166"/>
      <c r="BSM77" s="166"/>
      <c r="BSN77" s="166"/>
      <c r="BSO77" s="166"/>
      <c r="BSP77" s="166"/>
      <c r="BSQ77" s="166"/>
      <c r="BSR77" s="166"/>
      <c r="BSS77" s="166"/>
    </row>
    <row r="78" spans="1:1865" ht="20.100000000000001" customHeight="1" x14ac:dyDescent="0.25">
      <c r="A78" s="100" t="s">
        <v>21</v>
      </c>
      <c r="B78" s="63"/>
      <c r="C78" s="208"/>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165"/>
      <c r="BHG78" s="166"/>
      <c r="BHH78" s="166"/>
      <c r="BHI78" s="166"/>
      <c r="BHJ78" s="166"/>
      <c r="BHK78" s="166"/>
      <c r="BHL78" s="166"/>
      <c r="BHM78" s="166"/>
      <c r="BHN78" s="166"/>
      <c r="BHO78" s="166"/>
      <c r="BHP78" s="166"/>
      <c r="BHQ78" s="166"/>
      <c r="BHR78" s="166"/>
      <c r="BHS78" s="166"/>
      <c r="BHT78" s="166"/>
      <c r="BHU78" s="166"/>
      <c r="BHV78" s="166"/>
      <c r="BHW78" s="166"/>
      <c r="BHX78" s="166"/>
      <c r="BHY78" s="166"/>
      <c r="BHZ78" s="166"/>
      <c r="BIA78" s="166"/>
      <c r="BIB78" s="166"/>
      <c r="BIC78" s="166"/>
      <c r="BID78" s="166"/>
      <c r="BIE78" s="166"/>
      <c r="BIF78" s="166"/>
      <c r="BIG78" s="166"/>
      <c r="BIH78" s="166"/>
      <c r="BII78" s="166"/>
      <c r="BIJ78" s="166"/>
      <c r="BIK78" s="166"/>
      <c r="BIL78" s="166"/>
      <c r="BIM78" s="166"/>
      <c r="BIN78" s="166"/>
      <c r="BIO78" s="166"/>
      <c r="BIP78" s="166"/>
      <c r="BIQ78" s="166"/>
      <c r="BIR78" s="166"/>
      <c r="BIS78" s="166"/>
      <c r="BIT78" s="166"/>
      <c r="BIU78" s="166"/>
      <c r="BIV78" s="166"/>
      <c r="BIW78" s="166"/>
      <c r="BIX78" s="166"/>
      <c r="BIY78" s="166"/>
      <c r="BIZ78" s="166"/>
      <c r="BJA78" s="166"/>
      <c r="BJB78" s="166"/>
      <c r="BJC78" s="166"/>
      <c r="BJD78" s="166"/>
      <c r="BJE78" s="166"/>
      <c r="BJF78" s="166"/>
      <c r="BJG78" s="166"/>
      <c r="BJH78" s="166"/>
      <c r="BJI78" s="166"/>
      <c r="BJJ78" s="166"/>
      <c r="BJK78" s="166"/>
      <c r="BJL78" s="166"/>
      <c r="BJM78" s="166"/>
      <c r="BJN78" s="166"/>
      <c r="BJO78" s="166"/>
      <c r="BJP78" s="166"/>
      <c r="BJQ78" s="166"/>
      <c r="BJR78" s="166"/>
      <c r="BJS78" s="166"/>
      <c r="BJT78" s="166"/>
      <c r="BJU78" s="166"/>
      <c r="BJV78" s="166"/>
      <c r="BJW78" s="166"/>
      <c r="BJX78" s="166"/>
      <c r="BJY78" s="166"/>
      <c r="BJZ78" s="166"/>
      <c r="BKA78" s="166"/>
      <c r="BKB78" s="166"/>
      <c r="BKC78" s="166"/>
      <c r="BKD78" s="166"/>
      <c r="BKE78" s="166"/>
      <c r="BKF78" s="166"/>
      <c r="BKG78" s="166"/>
      <c r="BKH78" s="166"/>
      <c r="BKI78" s="166"/>
      <c r="BKJ78" s="166"/>
      <c r="BKK78" s="166"/>
      <c r="BKL78" s="166"/>
      <c r="BKM78" s="166"/>
      <c r="BKN78" s="166"/>
      <c r="BKO78" s="166"/>
      <c r="BKP78" s="166"/>
      <c r="BKQ78" s="166"/>
      <c r="BKR78" s="166"/>
      <c r="BKS78" s="166"/>
      <c r="BKT78" s="166"/>
      <c r="BKU78" s="166"/>
      <c r="BKV78" s="166"/>
      <c r="BKW78" s="166"/>
      <c r="BKX78" s="166"/>
      <c r="BKY78" s="166"/>
      <c r="BKZ78" s="166"/>
      <c r="BLA78" s="166"/>
      <c r="BLB78" s="166"/>
      <c r="BLC78" s="166"/>
      <c r="BLD78" s="166"/>
      <c r="BLE78" s="166"/>
      <c r="BLF78" s="166"/>
      <c r="BLG78" s="166"/>
      <c r="BLH78" s="166"/>
      <c r="BLI78" s="166"/>
      <c r="BLJ78" s="166"/>
      <c r="BLK78" s="166"/>
      <c r="BLL78" s="166"/>
      <c r="BLM78" s="166"/>
      <c r="BLN78" s="166"/>
      <c r="BLO78" s="166"/>
      <c r="BLP78" s="166"/>
      <c r="BLQ78" s="166"/>
      <c r="BLR78" s="166"/>
      <c r="BLS78" s="166"/>
      <c r="BLT78" s="166"/>
      <c r="BLU78" s="166"/>
      <c r="BLV78" s="166"/>
      <c r="BLW78" s="166"/>
      <c r="BLX78" s="166"/>
      <c r="BLY78" s="166"/>
      <c r="BLZ78" s="166"/>
      <c r="BMA78" s="166"/>
      <c r="BMB78" s="166"/>
      <c r="BMC78" s="166"/>
      <c r="BMD78" s="166"/>
      <c r="BME78" s="166"/>
      <c r="BMF78" s="166"/>
      <c r="BMG78" s="166"/>
      <c r="BMH78" s="166"/>
      <c r="BMI78" s="166"/>
      <c r="BMJ78" s="166"/>
      <c r="BMK78" s="166"/>
      <c r="BML78" s="166"/>
      <c r="BMM78" s="166"/>
      <c r="BMN78" s="166"/>
      <c r="BMO78" s="166"/>
      <c r="BMP78" s="166"/>
      <c r="BMQ78" s="166"/>
      <c r="BMR78" s="166"/>
      <c r="BMS78" s="166"/>
      <c r="BMT78" s="166"/>
      <c r="BMU78" s="166"/>
      <c r="BMV78" s="166"/>
      <c r="BMW78" s="166"/>
      <c r="BMX78" s="166"/>
      <c r="BMY78" s="166"/>
      <c r="BMZ78" s="166"/>
      <c r="BNA78" s="166"/>
      <c r="BNB78" s="166"/>
      <c r="BNC78" s="166"/>
      <c r="BND78" s="166"/>
      <c r="BNE78" s="166"/>
      <c r="BNF78" s="166"/>
      <c r="BNG78" s="166"/>
      <c r="BNH78" s="166"/>
      <c r="BNI78" s="166"/>
      <c r="BNJ78" s="166"/>
      <c r="BNK78" s="166"/>
      <c r="BNL78" s="166"/>
      <c r="BNM78" s="166"/>
      <c r="BNN78" s="166"/>
      <c r="BNO78" s="166"/>
      <c r="BNP78" s="166"/>
      <c r="BNQ78" s="166"/>
      <c r="BNR78" s="166"/>
      <c r="BNS78" s="166"/>
      <c r="BNT78" s="166"/>
      <c r="BNU78" s="166"/>
      <c r="BNV78" s="166"/>
      <c r="BNW78" s="166"/>
      <c r="BNX78" s="166"/>
      <c r="BNY78" s="166"/>
      <c r="BNZ78" s="166"/>
      <c r="BOA78" s="166"/>
      <c r="BOB78" s="166"/>
      <c r="BOC78" s="166"/>
      <c r="BOD78" s="166"/>
      <c r="BOE78" s="166"/>
      <c r="BOF78" s="166"/>
      <c r="BOG78" s="166"/>
      <c r="BOH78" s="166"/>
      <c r="BOI78" s="166"/>
      <c r="BOJ78" s="166"/>
      <c r="BOK78" s="166"/>
      <c r="BOL78" s="166"/>
      <c r="BOM78" s="166"/>
      <c r="BON78" s="166"/>
      <c r="BOO78" s="166"/>
      <c r="BOP78" s="166"/>
      <c r="BOQ78" s="166"/>
      <c r="BOR78" s="166"/>
      <c r="BOS78" s="166"/>
      <c r="BOT78" s="166"/>
      <c r="BOU78" s="166"/>
      <c r="BOV78" s="166"/>
      <c r="BOW78" s="166"/>
      <c r="BOX78" s="166"/>
      <c r="BOY78" s="166"/>
      <c r="BOZ78" s="166"/>
      <c r="BPA78" s="166"/>
      <c r="BPB78" s="166"/>
      <c r="BPC78" s="166"/>
      <c r="BPD78" s="166"/>
      <c r="BPE78" s="166"/>
      <c r="BPF78" s="166"/>
      <c r="BPG78" s="166"/>
      <c r="BPH78" s="166"/>
      <c r="BPI78" s="166"/>
      <c r="BPJ78" s="166"/>
      <c r="BPK78" s="166"/>
      <c r="BPL78" s="166"/>
      <c r="BPM78" s="166"/>
      <c r="BPN78" s="166"/>
      <c r="BPO78" s="166"/>
      <c r="BPP78" s="166"/>
      <c r="BPQ78" s="166"/>
      <c r="BPR78" s="166"/>
      <c r="BPS78" s="166"/>
      <c r="BPT78" s="166"/>
      <c r="BPU78" s="166"/>
      <c r="BPV78" s="166"/>
      <c r="BPW78" s="166"/>
      <c r="BPX78" s="166"/>
      <c r="BPY78" s="166"/>
      <c r="BPZ78" s="166"/>
      <c r="BQA78" s="166"/>
      <c r="BQB78" s="166"/>
      <c r="BQC78" s="166"/>
      <c r="BQD78" s="166"/>
      <c r="BQE78" s="166"/>
      <c r="BQF78" s="166"/>
      <c r="BQG78" s="166"/>
      <c r="BQH78" s="166"/>
      <c r="BQI78" s="166"/>
      <c r="BQJ78" s="166"/>
      <c r="BQK78" s="166"/>
      <c r="BQL78" s="166"/>
      <c r="BQM78" s="166"/>
      <c r="BQN78" s="166"/>
      <c r="BQO78" s="166"/>
      <c r="BQP78" s="166"/>
      <c r="BQQ78" s="166"/>
      <c r="BQR78" s="166"/>
      <c r="BQS78" s="166"/>
      <c r="BQT78" s="166"/>
      <c r="BQU78" s="166"/>
      <c r="BQV78" s="166"/>
      <c r="BQW78" s="166"/>
      <c r="BQX78" s="166"/>
      <c r="BQY78" s="166"/>
      <c r="BQZ78" s="166"/>
      <c r="BRA78" s="166"/>
      <c r="BRB78" s="166"/>
      <c r="BRC78" s="166"/>
      <c r="BRD78" s="166"/>
      <c r="BRE78" s="166"/>
      <c r="BRF78" s="166"/>
      <c r="BRG78" s="166"/>
      <c r="BRH78" s="166"/>
      <c r="BRI78" s="166"/>
      <c r="BRJ78" s="166"/>
      <c r="BRK78" s="166"/>
      <c r="BRL78" s="166"/>
      <c r="BRM78" s="166"/>
      <c r="BRN78" s="166"/>
      <c r="BRO78" s="166"/>
      <c r="BRP78" s="166"/>
      <c r="BRQ78" s="166"/>
      <c r="BRR78" s="166"/>
      <c r="BRS78" s="166"/>
      <c r="BRT78" s="166"/>
      <c r="BRU78" s="166"/>
      <c r="BRV78" s="166"/>
      <c r="BRW78" s="166"/>
      <c r="BRX78" s="166"/>
      <c r="BRY78" s="166"/>
      <c r="BRZ78" s="166"/>
      <c r="BSA78" s="166"/>
      <c r="BSB78" s="166"/>
      <c r="BSC78" s="166"/>
      <c r="BSD78" s="166"/>
      <c r="BSE78" s="166"/>
      <c r="BSF78" s="166"/>
      <c r="BSG78" s="166"/>
      <c r="BSH78" s="166"/>
      <c r="BSI78" s="166"/>
      <c r="BSJ78" s="166"/>
      <c r="BSK78" s="166"/>
      <c r="BSL78" s="166"/>
      <c r="BSM78" s="166"/>
      <c r="BSN78" s="166"/>
      <c r="BSO78" s="166"/>
      <c r="BSP78" s="166"/>
      <c r="BSQ78" s="166"/>
      <c r="BSR78" s="166"/>
      <c r="BSS78" s="166"/>
    </row>
    <row r="79" spans="1:1865" ht="20.100000000000001" customHeight="1" x14ac:dyDescent="0.25">
      <c r="A79" s="100" t="s">
        <v>20</v>
      </c>
      <c r="B79" s="63"/>
      <c r="C79" s="207"/>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165"/>
      <c r="BHG79" s="166"/>
      <c r="BHH79" s="166"/>
      <c r="BHI79" s="166"/>
      <c r="BHJ79" s="166"/>
      <c r="BHK79" s="166"/>
      <c r="BHL79" s="166"/>
      <c r="BHM79" s="166"/>
      <c r="BHN79" s="166"/>
      <c r="BHO79" s="166"/>
      <c r="BHP79" s="166"/>
      <c r="BHQ79" s="166"/>
      <c r="BHR79" s="166"/>
      <c r="BHS79" s="166"/>
      <c r="BHT79" s="166"/>
      <c r="BHU79" s="166"/>
      <c r="BHV79" s="166"/>
      <c r="BHW79" s="166"/>
      <c r="BHX79" s="166"/>
      <c r="BHY79" s="166"/>
      <c r="BHZ79" s="166"/>
      <c r="BIA79" s="166"/>
      <c r="BIB79" s="166"/>
      <c r="BIC79" s="166"/>
      <c r="BID79" s="166"/>
      <c r="BIE79" s="166"/>
      <c r="BIF79" s="166"/>
      <c r="BIG79" s="166"/>
      <c r="BIH79" s="166"/>
      <c r="BII79" s="166"/>
      <c r="BIJ79" s="166"/>
      <c r="BIK79" s="166"/>
      <c r="BIL79" s="166"/>
      <c r="BIM79" s="166"/>
      <c r="BIN79" s="166"/>
      <c r="BIO79" s="166"/>
      <c r="BIP79" s="166"/>
      <c r="BIQ79" s="166"/>
      <c r="BIR79" s="166"/>
      <c r="BIS79" s="166"/>
      <c r="BIT79" s="166"/>
      <c r="BIU79" s="166"/>
      <c r="BIV79" s="166"/>
      <c r="BIW79" s="166"/>
      <c r="BIX79" s="166"/>
      <c r="BIY79" s="166"/>
      <c r="BIZ79" s="166"/>
      <c r="BJA79" s="166"/>
      <c r="BJB79" s="166"/>
      <c r="BJC79" s="166"/>
      <c r="BJD79" s="166"/>
      <c r="BJE79" s="166"/>
      <c r="BJF79" s="166"/>
      <c r="BJG79" s="166"/>
      <c r="BJH79" s="166"/>
      <c r="BJI79" s="166"/>
      <c r="BJJ79" s="166"/>
      <c r="BJK79" s="166"/>
      <c r="BJL79" s="166"/>
      <c r="BJM79" s="166"/>
      <c r="BJN79" s="166"/>
      <c r="BJO79" s="166"/>
      <c r="BJP79" s="166"/>
      <c r="BJQ79" s="166"/>
      <c r="BJR79" s="166"/>
      <c r="BJS79" s="166"/>
      <c r="BJT79" s="166"/>
      <c r="BJU79" s="166"/>
      <c r="BJV79" s="166"/>
      <c r="BJW79" s="166"/>
      <c r="BJX79" s="166"/>
      <c r="BJY79" s="166"/>
      <c r="BJZ79" s="166"/>
      <c r="BKA79" s="166"/>
      <c r="BKB79" s="166"/>
      <c r="BKC79" s="166"/>
      <c r="BKD79" s="166"/>
      <c r="BKE79" s="166"/>
      <c r="BKF79" s="166"/>
      <c r="BKG79" s="166"/>
      <c r="BKH79" s="166"/>
      <c r="BKI79" s="166"/>
      <c r="BKJ79" s="166"/>
      <c r="BKK79" s="166"/>
      <c r="BKL79" s="166"/>
      <c r="BKM79" s="166"/>
      <c r="BKN79" s="166"/>
      <c r="BKO79" s="166"/>
      <c r="BKP79" s="166"/>
      <c r="BKQ79" s="166"/>
      <c r="BKR79" s="166"/>
      <c r="BKS79" s="166"/>
      <c r="BKT79" s="166"/>
      <c r="BKU79" s="166"/>
      <c r="BKV79" s="166"/>
      <c r="BKW79" s="166"/>
      <c r="BKX79" s="166"/>
      <c r="BKY79" s="166"/>
      <c r="BKZ79" s="166"/>
      <c r="BLA79" s="166"/>
      <c r="BLB79" s="166"/>
      <c r="BLC79" s="166"/>
      <c r="BLD79" s="166"/>
      <c r="BLE79" s="166"/>
      <c r="BLF79" s="166"/>
      <c r="BLG79" s="166"/>
      <c r="BLH79" s="166"/>
      <c r="BLI79" s="166"/>
      <c r="BLJ79" s="166"/>
      <c r="BLK79" s="166"/>
      <c r="BLL79" s="166"/>
      <c r="BLM79" s="166"/>
      <c r="BLN79" s="166"/>
      <c r="BLO79" s="166"/>
      <c r="BLP79" s="166"/>
      <c r="BLQ79" s="166"/>
      <c r="BLR79" s="166"/>
      <c r="BLS79" s="166"/>
      <c r="BLT79" s="166"/>
      <c r="BLU79" s="166"/>
      <c r="BLV79" s="166"/>
      <c r="BLW79" s="166"/>
      <c r="BLX79" s="166"/>
      <c r="BLY79" s="166"/>
      <c r="BLZ79" s="166"/>
      <c r="BMA79" s="166"/>
      <c r="BMB79" s="166"/>
      <c r="BMC79" s="166"/>
      <c r="BMD79" s="166"/>
      <c r="BME79" s="166"/>
      <c r="BMF79" s="166"/>
      <c r="BMG79" s="166"/>
      <c r="BMH79" s="166"/>
      <c r="BMI79" s="166"/>
      <c r="BMJ79" s="166"/>
      <c r="BMK79" s="166"/>
      <c r="BML79" s="166"/>
      <c r="BMM79" s="166"/>
      <c r="BMN79" s="166"/>
      <c r="BMO79" s="166"/>
      <c r="BMP79" s="166"/>
      <c r="BMQ79" s="166"/>
      <c r="BMR79" s="166"/>
      <c r="BMS79" s="166"/>
      <c r="BMT79" s="166"/>
      <c r="BMU79" s="166"/>
      <c r="BMV79" s="166"/>
      <c r="BMW79" s="166"/>
      <c r="BMX79" s="166"/>
      <c r="BMY79" s="166"/>
      <c r="BMZ79" s="166"/>
      <c r="BNA79" s="166"/>
      <c r="BNB79" s="166"/>
      <c r="BNC79" s="166"/>
      <c r="BND79" s="166"/>
      <c r="BNE79" s="166"/>
      <c r="BNF79" s="166"/>
      <c r="BNG79" s="166"/>
      <c r="BNH79" s="166"/>
      <c r="BNI79" s="166"/>
      <c r="BNJ79" s="166"/>
      <c r="BNK79" s="166"/>
      <c r="BNL79" s="166"/>
      <c r="BNM79" s="166"/>
      <c r="BNN79" s="166"/>
      <c r="BNO79" s="166"/>
      <c r="BNP79" s="166"/>
      <c r="BNQ79" s="166"/>
      <c r="BNR79" s="166"/>
      <c r="BNS79" s="166"/>
      <c r="BNT79" s="166"/>
      <c r="BNU79" s="166"/>
      <c r="BNV79" s="166"/>
      <c r="BNW79" s="166"/>
      <c r="BNX79" s="166"/>
      <c r="BNY79" s="166"/>
      <c r="BNZ79" s="166"/>
      <c r="BOA79" s="166"/>
      <c r="BOB79" s="166"/>
      <c r="BOC79" s="166"/>
      <c r="BOD79" s="166"/>
      <c r="BOE79" s="166"/>
      <c r="BOF79" s="166"/>
      <c r="BOG79" s="166"/>
      <c r="BOH79" s="166"/>
      <c r="BOI79" s="166"/>
      <c r="BOJ79" s="166"/>
      <c r="BOK79" s="166"/>
      <c r="BOL79" s="166"/>
      <c r="BOM79" s="166"/>
      <c r="BON79" s="166"/>
      <c r="BOO79" s="166"/>
      <c r="BOP79" s="166"/>
      <c r="BOQ79" s="166"/>
      <c r="BOR79" s="166"/>
      <c r="BOS79" s="166"/>
      <c r="BOT79" s="166"/>
      <c r="BOU79" s="166"/>
      <c r="BOV79" s="166"/>
      <c r="BOW79" s="166"/>
      <c r="BOX79" s="166"/>
      <c r="BOY79" s="166"/>
      <c r="BOZ79" s="166"/>
      <c r="BPA79" s="166"/>
      <c r="BPB79" s="166"/>
      <c r="BPC79" s="166"/>
      <c r="BPD79" s="166"/>
      <c r="BPE79" s="166"/>
      <c r="BPF79" s="166"/>
      <c r="BPG79" s="166"/>
      <c r="BPH79" s="166"/>
      <c r="BPI79" s="166"/>
      <c r="BPJ79" s="166"/>
      <c r="BPK79" s="166"/>
      <c r="BPL79" s="166"/>
      <c r="BPM79" s="166"/>
      <c r="BPN79" s="166"/>
      <c r="BPO79" s="166"/>
      <c r="BPP79" s="166"/>
      <c r="BPQ79" s="166"/>
      <c r="BPR79" s="166"/>
      <c r="BPS79" s="166"/>
      <c r="BPT79" s="166"/>
      <c r="BPU79" s="166"/>
      <c r="BPV79" s="166"/>
      <c r="BPW79" s="166"/>
      <c r="BPX79" s="166"/>
      <c r="BPY79" s="166"/>
      <c r="BPZ79" s="166"/>
      <c r="BQA79" s="166"/>
      <c r="BQB79" s="166"/>
      <c r="BQC79" s="166"/>
      <c r="BQD79" s="166"/>
      <c r="BQE79" s="166"/>
      <c r="BQF79" s="166"/>
      <c r="BQG79" s="166"/>
      <c r="BQH79" s="166"/>
      <c r="BQI79" s="166"/>
      <c r="BQJ79" s="166"/>
      <c r="BQK79" s="166"/>
      <c r="BQL79" s="166"/>
      <c r="BQM79" s="166"/>
      <c r="BQN79" s="166"/>
      <c r="BQO79" s="166"/>
      <c r="BQP79" s="166"/>
      <c r="BQQ79" s="166"/>
      <c r="BQR79" s="166"/>
      <c r="BQS79" s="166"/>
      <c r="BQT79" s="166"/>
      <c r="BQU79" s="166"/>
      <c r="BQV79" s="166"/>
      <c r="BQW79" s="166"/>
      <c r="BQX79" s="166"/>
      <c r="BQY79" s="166"/>
      <c r="BQZ79" s="166"/>
      <c r="BRA79" s="166"/>
      <c r="BRB79" s="166"/>
      <c r="BRC79" s="166"/>
      <c r="BRD79" s="166"/>
      <c r="BRE79" s="166"/>
      <c r="BRF79" s="166"/>
      <c r="BRG79" s="166"/>
      <c r="BRH79" s="166"/>
      <c r="BRI79" s="166"/>
      <c r="BRJ79" s="166"/>
      <c r="BRK79" s="166"/>
      <c r="BRL79" s="166"/>
      <c r="BRM79" s="166"/>
      <c r="BRN79" s="166"/>
      <c r="BRO79" s="166"/>
      <c r="BRP79" s="166"/>
      <c r="BRQ79" s="166"/>
      <c r="BRR79" s="166"/>
      <c r="BRS79" s="166"/>
      <c r="BRT79" s="166"/>
      <c r="BRU79" s="166"/>
      <c r="BRV79" s="166"/>
      <c r="BRW79" s="166"/>
      <c r="BRX79" s="166"/>
      <c r="BRY79" s="166"/>
      <c r="BRZ79" s="166"/>
      <c r="BSA79" s="166"/>
      <c r="BSB79" s="166"/>
      <c r="BSC79" s="166"/>
      <c r="BSD79" s="166"/>
      <c r="BSE79" s="166"/>
      <c r="BSF79" s="166"/>
      <c r="BSG79" s="166"/>
      <c r="BSH79" s="166"/>
      <c r="BSI79" s="166"/>
      <c r="BSJ79" s="166"/>
      <c r="BSK79" s="166"/>
      <c r="BSL79" s="166"/>
      <c r="BSM79" s="166"/>
      <c r="BSN79" s="166"/>
      <c r="BSO79" s="166"/>
      <c r="BSP79" s="166"/>
      <c r="BSQ79" s="166"/>
      <c r="BSR79" s="166"/>
      <c r="BSS79" s="166"/>
    </row>
    <row r="80" spans="1:1865" ht="20.100000000000001" customHeight="1" x14ac:dyDescent="0.3">
      <c r="A80" s="100" t="s">
        <v>21</v>
      </c>
      <c r="B80" s="63"/>
      <c r="C80" s="218"/>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165"/>
      <c r="BHG80" s="166"/>
      <c r="BHH80" s="166"/>
      <c r="BHI80" s="166"/>
      <c r="BHJ80" s="166"/>
      <c r="BHK80" s="166"/>
      <c r="BHL80" s="166"/>
      <c r="BHM80" s="166"/>
      <c r="BHN80" s="166"/>
      <c r="BHO80" s="166"/>
      <c r="BHP80" s="166"/>
      <c r="BHQ80" s="166"/>
      <c r="BHR80" s="166"/>
      <c r="BHS80" s="166"/>
      <c r="BHT80" s="166"/>
      <c r="BHU80" s="166"/>
      <c r="BHV80" s="166"/>
      <c r="BHW80" s="166"/>
      <c r="BHX80" s="166"/>
      <c r="BHY80" s="166"/>
      <c r="BHZ80" s="166"/>
      <c r="BIA80" s="166"/>
      <c r="BIB80" s="166"/>
      <c r="BIC80" s="166"/>
      <c r="BID80" s="166"/>
      <c r="BIE80" s="166"/>
      <c r="BIF80" s="166"/>
      <c r="BIG80" s="166"/>
      <c r="BIH80" s="166"/>
      <c r="BII80" s="166"/>
      <c r="BIJ80" s="166"/>
      <c r="BIK80" s="166"/>
      <c r="BIL80" s="166"/>
      <c r="BIM80" s="166"/>
      <c r="BIN80" s="166"/>
      <c r="BIO80" s="166"/>
      <c r="BIP80" s="166"/>
      <c r="BIQ80" s="166"/>
      <c r="BIR80" s="166"/>
      <c r="BIS80" s="166"/>
      <c r="BIT80" s="166"/>
      <c r="BIU80" s="166"/>
      <c r="BIV80" s="166"/>
      <c r="BIW80" s="166"/>
      <c r="BIX80" s="166"/>
      <c r="BIY80" s="166"/>
      <c r="BIZ80" s="166"/>
      <c r="BJA80" s="166"/>
      <c r="BJB80" s="166"/>
      <c r="BJC80" s="166"/>
      <c r="BJD80" s="166"/>
      <c r="BJE80" s="166"/>
      <c r="BJF80" s="166"/>
      <c r="BJG80" s="166"/>
      <c r="BJH80" s="166"/>
      <c r="BJI80" s="166"/>
      <c r="BJJ80" s="166"/>
      <c r="BJK80" s="166"/>
      <c r="BJL80" s="166"/>
      <c r="BJM80" s="166"/>
      <c r="BJN80" s="166"/>
      <c r="BJO80" s="166"/>
      <c r="BJP80" s="166"/>
      <c r="BJQ80" s="166"/>
      <c r="BJR80" s="166"/>
      <c r="BJS80" s="166"/>
      <c r="BJT80" s="166"/>
      <c r="BJU80" s="166"/>
      <c r="BJV80" s="166"/>
      <c r="BJW80" s="166"/>
      <c r="BJX80" s="166"/>
      <c r="BJY80" s="166"/>
      <c r="BJZ80" s="166"/>
      <c r="BKA80" s="166"/>
      <c r="BKB80" s="166"/>
      <c r="BKC80" s="166"/>
      <c r="BKD80" s="166"/>
      <c r="BKE80" s="166"/>
      <c r="BKF80" s="166"/>
      <c r="BKG80" s="166"/>
      <c r="BKH80" s="166"/>
      <c r="BKI80" s="166"/>
      <c r="BKJ80" s="166"/>
      <c r="BKK80" s="166"/>
      <c r="BKL80" s="166"/>
      <c r="BKM80" s="166"/>
      <c r="BKN80" s="166"/>
      <c r="BKO80" s="166"/>
      <c r="BKP80" s="166"/>
      <c r="BKQ80" s="166"/>
      <c r="BKR80" s="166"/>
      <c r="BKS80" s="166"/>
      <c r="BKT80" s="166"/>
      <c r="BKU80" s="166"/>
      <c r="BKV80" s="166"/>
      <c r="BKW80" s="166"/>
      <c r="BKX80" s="166"/>
      <c r="BKY80" s="166"/>
      <c r="BKZ80" s="166"/>
      <c r="BLA80" s="166"/>
      <c r="BLB80" s="166"/>
      <c r="BLC80" s="166"/>
      <c r="BLD80" s="166"/>
      <c r="BLE80" s="166"/>
      <c r="BLF80" s="166"/>
      <c r="BLG80" s="166"/>
      <c r="BLH80" s="166"/>
      <c r="BLI80" s="166"/>
      <c r="BLJ80" s="166"/>
      <c r="BLK80" s="166"/>
      <c r="BLL80" s="166"/>
      <c r="BLM80" s="166"/>
      <c r="BLN80" s="166"/>
      <c r="BLO80" s="166"/>
      <c r="BLP80" s="166"/>
      <c r="BLQ80" s="166"/>
      <c r="BLR80" s="166"/>
      <c r="BLS80" s="166"/>
      <c r="BLT80" s="166"/>
      <c r="BLU80" s="166"/>
      <c r="BLV80" s="166"/>
      <c r="BLW80" s="166"/>
      <c r="BLX80" s="166"/>
      <c r="BLY80" s="166"/>
      <c r="BLZ80" s="166"/>
      <c r="BMA80" s="166"/>
      <c r="BMB80" s="166"/>
      <c r="BMC80" s="166"/>
      <c r="BMD80" s="166"/>
      <c r="BME80" s="166"/>
      <c r="BMF80" s="166"/>
      <c r="BMG80" s="166"/>
      <c r="BMH80" s="166"/>
      <c r="BMI80" s="166"/>
      <c r="BMJ80" s="166"/>
      <c r="BMK80" s="166"/>
      <c r="BML80" s="166"/>
      <c r="BMM80" s="166"/>
      <c r="BMN80" s="166"/>
      <c r="BMO80" s="166"/>
      <c r="BMP80" s="166"/>
      <c r="BMQ80" s="166"/>
      <c r="BMR80" s="166"/>
      <c r="BMS80" s="166"/>
      <c r="BMT80" s="166"/>
      <c r="BMU80" s="166"/>
      <c r="BMV80" s="166"/>
      <c r="BMW80" s="166"/>
      <c r="BMX80" s="166"/>
      <c r="BMY80" s="166"/>
      <c r="BMZ80" s="166"/>
      <c r="BNA80" s="166"/>
      <c r="BNB80" s="166"/>
      <c r="BNC80" s="166"/>
      <c r="BND80" s="166"/>
      <c r="BNE80" s="166"/>
      <c r="BNF80" s="166"/>
      <c r="BNG80" s="166"/>
      <c r="BNH80" s="166"/>
      <c r="BNI80" s="166"/>
      <c r="BNJ80" s="166"/>
      <c r="BNK80" s="166"/>
      <c r="BNL80" s="166"/>
      <c r="BNM80" s="166"/>
      <c r="BNN80" s="166"/>
      <c r="BNO80" s="166"/>
      <c r="BNP80" s="166"/>
      <c r="BNQ80" s="166"/>
      <c r="BNR80" s="166"/>
      <c r="BNS80" s="166"/>
      <c r="BNT80" s="166"/>
      <c r="BNU80" s="166"/>
      <c r="BNV80" s="166"/>
      <c r="BNW80" s="166"/>
      <c r="BNX80" s="166"/>
      <c r="BNY80" s="166"/>
      <c r="BNZ80" s="166"/>
      <c r="BOA80" s="166"/>
      <c r="BOB80" s="166"/>
      <c r="BOC80" s="166"/>
      <c r="BOD80" s="166"/>
      <c r="BOE80" s="166"/>
      <c r="BOF80" s="166"/>
      <c r="BOG80" s="166"/>
      <c r="BOH80" s="166"/>
      <c r="BOI80" s="166"/>
      <c r="BOJ80" s="166"/>
      <c r="BOK80" s="166"/>
      <c r="BOL80" s="166"/>
      <c r="BOM80" s="166"/>
      <c r="BON80" s="166"/>
      <c r="BOO80" s="166"/>
      <c r="BOP80" s="166"/>
      <c r="BOQ80" s="166"/>
      <c r="BOR80" s="166"/>
      <c r="BOS80" s="166"/>
      <c r="BOT80" s="166"/>
      <c r="BOU80" s="166"/>
      <c r="BOV80" s="166"/>
      <c r="BOW80" s="166"/>
      <c r="BOX80" s="166"/>
      <c r="BOY80" s="166"/>
      <c r="BOZ80" s="166"/>
      <c r="BPA80" s="166"/>
      <c r="BPB80" s="166"/>
      <c r="BPC80" s="166"/>
      <c r="BPD80" s="166"/>
      <c r="BPE80" s="166"/>
      <c r="BPF80" s="166"/>
      <c r="BPG80" s="166"/>
      <c r="BPH80" s="166"/>
      <c r="BPI80" s="166"/>
      <c r="BPJ80" s="166"/>
      <c r="BPK80" s="166"/>
      <c r="BPL80" s="166"/>
      <c r="BPM80" s="166"/>
      <c r="BPN80" s="166"/>
      <c r="BPO80" s="166"/>
      <c r="BPP80" s="166"/>
      <c r="BPQ80" s="166"/>
      <c r="BPR80" s="166"/>
      <c r="BPS80" s="166"/>
      <c r="BPT80" s="166"/>
      <c r="BPU80" s="166"/>
      <c r="BPV80" s="166"/>
      <c r="BPW80" s="166"/>
      <c r="BPX80" s="166"/>
      <c r="BPY80" s="166"/>
      <c r="BPZ80" s="166"/>
      <c r="BQA80" s="166"/>
      <c r="BQB80" s="166"/>
      <c r="BQC80" s="166"/>
      <c r="BQD80" s="166"/>
      <c r="BQE80" s="166"/>
      <c r="BQF80" s="166"/>
      <c r="BQG80" s="166"/>
      <c r="BQH80" s="166"/>
      <c r="BQI80" s="166"/>
      <c r="BQJ80" s="166"/>
      <c r="BQK80" s="166"/>
      <c r="BQL80" s="166"/>
      <c r="BQM80" s="166"/>
      <c r="BQN80" s="166"/>
      <c r="BQO80" s="166"/>
      <c r="BQP80" s="166"/>
      <c r="BQQ80" s="166"/>
      <c r="BQR80" s="166"/>
      <c r="BQS80" s="166"/>
      <c r="BQT80" s="166"/>
      <c r="BQU80" s="166"/>
      <c r="BQV80" s="166"/>
      <c r="BQW80" s="166"/>
      <c r="BQX80" s="166"/>
      <c r="BQY80" s="166"/>
      <c r="BQZ80" s="166"/>
      <c r="BRA80" s="166"/>
      <c r="BRB80" s="166"/>
      <c r="BRC80" s="166"/>
      <c r="BRD80" s="166"/>
      <c r="BRE80" s="166"/>
      <c r="BRF80" s="166"/>
      <c r="BRG80" s="166"/>
      <c r="BRH80" s="166"/>
      <c r="BRI80" s="166"/>
      <c r="BRJ80" s="166"/>
      <c r="BRK80" s="166"/>
      <c r="BRL80" s="166"/>
      <c r="BRM80" s="166"/>
      <c r="BRN80" s="166"/>
      <c r="BRO80" s="166"/>
      <c r="BRP80" s="166"/>
      <c r="BRQ80" s="166"/>
      <c r="BRR80" s="166"/>
      <c r="BRS80" s="166"/>
      <c r="BRT80" s="166"/>
      <c r="BRU80" s="166"/>
      <c r="BRV80" s="166"/>
      <c r="BRW80" s="166"/>
      <c r="BRX80" s="166"/>
      <c r="BRY80" s="166"/>
      <c r="BRZ80" s="166"/>
      <c r="BSA80" s="166"/>
      <c r="BSB80" s="166"/>
      <c r="BSC80" s="166"/>
      <c r="BSD80" s="166"/>
      <c r="BSE80" s="166"/>
      <c r="BSF80" s="166"/>
      <c r="BSG80" s="166"/>
      <c r="BSH80" s="166"/>
      <c r="BSI80" s="166"/>
      <c r="BSJ80" s="166"/>
      <c r="BSK80" s="166"/>
      <c r="BSL80" s="166"/>
      <c r="BSM80" s="166"/>
      <c r="BSN80" s="166"/>
      <c r="BSO80" s="166"/>
      <c r="BSP80" s="166"/>
      <c r="BSQ80" s="166"/>
      <c r="BSR80" s="166"/>
      <c r="BSS80" s="166"/>
    </row>
    <row r="81" spans="1:1865" ht="20.100000000000001" customHeight="1" x14ac:dyDescent="0.25">
      <c r="A81" s="100" t="s">
        <v>20</v>
      </c>
      <c r="B81" s="63"/>
      <c r="C81" s="207"/>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165"/>
      <c r="BHG81" s="166"/>
      <c r="BHH81" s="166"/>
      <c r="BHI81" s="166"/>
      <c r="BHJ81" s="166"/>
      <c r="BHK81" s="166"/>
      <c r="BHL81" s="166"/>
      <c r="BHM81" s="166"/>
      <c r="BHN81" s="166"/>
      <c r="BHO81" s="166"/>
      <c r="BHP81" s="166"/>
      <c r="BHQ81" s="166"/>
      <c r="BHR81" s="166"/>
      <c r="BHS81" s="166"/>
      <c r="BHT81" s="166"/>
      <c r="BHU81" s="166"/>
      <c r="BHV81" s="166"/>
      <c r="BHW81" s="166"/>
      <c r="BHX81" s="166"/>
      <c r="BHY81" s="166"/>
      <c r="BHZ81" s="166"/>
      <c r="BIA81" s="166"/>
      <c r="BIB81" s="166"/>
      <c r="BIC81" s="166"/>
      <c r="BID81" s="166"/>
      <c r="BIE81" s="166"/>
      <c r="BIF81" s="166"/>
      <c r="BIG81" s="166"/>
      <c r="BIH81" s="166"/>
      <c r="BII81" s="166"/>
      <c r="BIJ81" s="166"/>
      <c r="BIK81" s="166"/>
      <c r="BIL81" s="166"/>
      <c r="BIM81" s="166"/>
      <c r="BIN81" s="166"/>
      <c r="BIO81" s="166"/>
      <c r="BIP81" s="166"/>
      <c r="BIQ81" s="166"/>
      <c r="BIR81" s="166"/>
      <c r="BIS81" s="166"/>
      <c r="BIT81" s="166"/>
      <c r="BIU81" s="166"/>
      <c r="BIV81" s="166"/>
      <c r="BIW81" s="166"/>
      <c r="BIX81" s="166"/>
      <c r="BIY81" s="166"/>
      <c r="BIZ81" s="166"/>
      <c r="BJA81" s="166"/>
      <c r="BJB81" s="166"/>
      <c r="BJC81" s="166"/>
      <c r="BJD81" s="166"/>
      <c r="BJE81" s="166"/>
      <c r="BJF81" s="166"/>
      <c r="BJG81" s="166"/>
      <c r="BJH81" s="166"/>
      <c r="BJI81" s="166"/>
      <c r="BJJ81" s="166"/>
      <c r="BJK81" s="166"/>
      <c r="BJL81" s="166"/>
      <c r="BJM81" s="166"/>
      <c r="BJN81" s="166"/>
      <c r="BJO81" s="166"/>
      <c r="BJP81" s="166"/>
      <c r="BJQ81" s="166"/>
      <c r="BJR81" s="166"/>
      <c r="BJS81" s="166"/>
      <c r="BJT81" s="166"/>
      <c r="BJU81" s="166"/>
      <c r="BJV81" s="166"/>
      <c r="BJW81" s="166"/>
      <c r="BJX81" s="166"/>
      <c r="BJY81" s="166"/>
      <c r="BJZ81" s="166"/>
      <c r="BKA81" s="166"/>
      <c r="BKB81" s="166"/>
      <c r="BKC81" s="166"/>
      <c r="BKD81" s="166"/>
      <c r="BKE81" s="166"/>
      <c r="BKF81" s="166"/>
      <c r="BKG81" s="166"/>
      <c r="BKH81" s="166"/>
      <c r="BKI81" s="166"/>
      <c r="BKJ81" s="166"/>
      <c r="BKK81" s="166"/>
      <c r="BKL81" s="166"/>
      <c r="BKM81" s="166"/>
      <c r="BKN81" s="166"/>
      <c r="BKO81" s="166"/>
      <c r="BKP81" s="166"/>
      <c r="BKQ81" s="166"/>
      <c r="BKR81" s="166"/>
      <c r="BKS81" s="166"/>
      <c r="BKT81" s="166"/>
      <c r="BKU81" s="166"/>
      <c r="BKV81" s="166"/>
      <c r="BKW81" s="166"/>
      <c r="BKX81" s="166"/>
      <c r="BKY81" s="166"/>
      <c r="BKZ81" s="166"/>
      <c r="BLA81" s="166"/>
      <c r="BLB81" s="166"/>
      <c r="BLC81" s="166"/>
      <c r="BLD81" s="166"/>
      <c r="BLE81" s="166"/>
      <c r="BLF81" s="166"/>
      <c r="BLG81" s="166"/>
      <c r="BLH81" s="166"/>
      <c r="BLI81" s="166"/>
      <c r="BLJ81" s="166"/>
      <c r="BLK81" s="166"/>
      <c r="BLL81" s="166"/>
      <c r="BLM81" s="166"/>
      <c r="BLN81" s="166"/>
      <c r="BLO81" s="166"/>
      <c r="BLP81" s="166"/>
      <c r="BLQ81" s="166"/>
      <c r="BLR81" s="166"/>
      <c r="BLS81" s="166"/>
      <c r="BLT81" s="166"/>
      <c r="BLU81" s="166"/>
      <c r="BLV81" s="166"/>
      <c r="BLW81" s="166"/>
      <c r="BLX81" s="166"/>
      <c r="BLY81" s="166"/>
      <c r="BLZ81" s="166"/>
      <c r="BMA81" s="166"/>
      <c r="BMB81" s="166"/>
      <c r="BMC81" s="166"/>
      <c r="BMD81" s="166"/>
      <c r="BME81" s="166"/>
      <c r="BMF81" s="166"/>
      <c r="BMG81" s="166"/>
      <c r="BMH81" s="166"/>
      <c r="BMI81" s="166"/>
      <c r="BMJ81" s="166"/>
      <c r="BMK81" s="166"/>
      <c r="BML81" s="166"/>
      <c r="BMM81" s="166"/>
      <c r="BMN81" s="166"/>
      <c r="BMO81" s="166"/>
      <c r="BMP81" s="166"/>
      <c r="BMQ81" s="166"/>
      <c r="BMR81" s="166"/>
      <c r="BMS81" s="166"/>
      <c r="BMT81" s="166"/>
      <c r="BMU81" s="166"/>
      <c r="BMV81" s="166"/>
      <c r="BMW81" s="166"/>
      <c r="BMX81" s="166"/>
      <c r="BMY81" s="166"/>
      <c r="BMZ81" s="166"/>
      <c r="BNA81" s="166"/>
      <c r="BNB81" s="166"/>
      <c r="BNC81" s="166"/>
      <c r="BND81" s="166"/>
      <c r="BNE81" s="166"/>
      <c r="BNF81" s="166"/>
      <c r="BNG81" s="166"/>
      <c r="BNH81" s="166"/>
      <c r="BNI81" s="166"/>
      <c r="BNJ81" s="166"/>
      <c r="BNK81" s="166"/>
      <c r="BNL81" s="166"/>
      <c r="BNM81" s="166"/>
      <c r="BNN81" s="166"/>
      <c r="BNO81" s="166"/>
      <c r="BNP81" s="166"/>
      <c r="BNQ81" s="166"/>
      <c r="BNR81" s="166"/>
      <c r="BNS81" s="166"/>
      <c r="BNT81" s="166"/>
      <c r="BNU81" s="166"/>
      <c r="BNV81" s="166"/>
      <c r="BNW81" s="166"/>
      <c r="BNX81" s="166"/>
      <c r="BNY81" s="166"/>
      <c r="BNZ81" s="166"/>
      <c r="BOA81" s="166"/>
      <c r="BOB81" s="166"/>
      <c r="BOC81" s="166"/>
      <c r="BOD81" s="166"/>
      <c r="BOE81" s="166"/>
      <c r="BOF81" s="166"/>
      <c r="BOG81" s="166"/>
      <c r="BOH81" s="166"/>
      <c r="BOI81" s="166"/>
      <c r="BOJ81" s="166"/>
      <c r="BOK81" s="166"/>
      <c r="BOL81" s="166"/>
      <c r="BOM81" s="166"/>
      <c r="BON81" s="166"/>
      <c r="BOO81" s="166"/>
      <c r="BOP81" s="166"/>
      <c r="BOQ81" s="166"/>
      <c r="BOR81" s="166"/>
      <c r="BOS81" s="166"/>
      <c r="BOT81" s="166"/>
      <c r="BOU81" s="166"/>
      <c r="BOV81" s="166"/>
      <c r="BOW81" s="166"/>
      <c r="BOX81" s="166"/>
      <c r="BOY81" s="166"/>
      <c r="BOZ81" s="166"/>
      <c r="BPA81" s="166"/>
      <c r="BPB81" s="166"/>
      <c r="BPC81" s="166"/>
      <c r="BPD81" s="166"/>
      <c r="BPE81" s="166"/>
      <c r="BPF81" s="166"/>
      <c r="BPG81" s="166"/>
      <c r="BPH81" s="166"/>
      <c r="BPI81" s="166"/>
      <c r="BPJ81" s="166"/>
      <c r="BPK81" s="166"/>
      <c r="BPL81" s="166"/>
      <c r="BPM81" s="166"/>
      <c r="BPN81" s="166"/>
      <c r="BPO81" s="166"/>
      <c r="BPP81" s="166"/>
      <c r="BPQ81" s="166"/>
      <c r="BPR81" s="166"/>
      <c r="BPS81" s="166"/>
      <c r="BPT81" s="166"/>
      <c r="BPU81" s="166"/>
      <c r="BPV81" s="166"/>
      <c r="BPW81" s="166"/>
      <c r="BPX81" s="166"/>
      <c r="BPY81" s="166"/>
      <c r="BPZ81" s="166"/>
      <c r="BQA81" s="166"/>
      <c r="BQB81" s="166"/>
      <c r="BQC81" s="166"/>
      <c r="BQD81" s="166"/>
      <c r="BQE81" s="166"/>
      <c r="BQF81" s="166"/>
      <c r="BQG81" s="166"/>
      <c r="BQH81" s="166"/>
      <c r="BQI81" s="166"/>
      <c r="BQJ81" s="166"/>
      <c r="BQK81" s="166"/>
      <c r="BQL81" s="166"/>
      <c r="BQM81" s="166"/>
      <c r="BQN81" s="166"/>
      <c r="BQO81" s="166"/>
      <c r="BQP81" s="166"/>
      <c r="BQQ81" s="166"/>
      <c r="BQR81" s="166"/>
      <c r="BQS81" s="166"/>
      <c r="BQT81" s="166"/>
      <c r="BQU81" s="166"/>
      <c r="BQV81" s="166"/>
      <c r="BQW81" s="166"/>
      <c r="BQX81" s="166"/>
      <c r="BQY81" s="166"/>
      <c r="BQZ81" s="166"/>
      <c r="BRA81" s="166"/>
      <c r="BRB81" s="166"/>
      <c r="BRC81" s="166"/>
      <c r="BRD81" s="166"/>
      <c r="BRE81" s="166"/>
      <c r="BRF81" s="166"/>
      <c r="BRG81" s="166"/>
      <c r="BRH81" s="166"/>
      <c r="BRI81" s="166"/>
      <c r="BRJ81" s="166"/>
      <c r="BRK81" s="166"/>
      <c r="BRL81" s="166"/>
      <c r="BRM81" s="166"/>
      <c r="BRN81" s="166"/>
      <c r="BRO81" s="166"/>
      <c r="BRP81" s="166"/>
      <c r="BRQ81" s="166"/>
      <c r="BRR81" s="166"/>
      <c r="BRS81" s="166"/>
      <c r="BRT81" s="166"/>
      <c r="BRU81" s="166"/>
      <c r="BRV81" s="166"/>
      <c r="BRW81" s="166"/>
      <c r="BRX81" s="166"/>
      <c r="BRY81" s="166"/>
      <c r="BRZ81" s="166"/>
      <c r="BSA81" s="166"/>
      <c r="BSB81" s="166"/>
      <c r="BSC81" s="166"/>
      <c r="BSD81" s="166"/>
      <c r="BSE81" s="166"/>
      <c r="BSF81" s="166"/>
      <c r="BSG81" s="166"/>
      <c r="BSH81" s="166"/>
      <c r="BSI81" s="166"/>
      <c r="BSJ81" s="166"/>
      <c r="BSK81" s="166"/>
      <c r="BSL81" s="166"/>
      <c r="BSM81" s="166"/>
      <c r="BSN81" s="166"/>
      <c r="BSO81" s="166"/>
      <c r="BSP81" s="166"/>
      <c r="BSQ81" s="166"/>
      <c r="BSR81" s="166"/>
      <c r="BSS81" s="166"/>
    </row>
    <row r="82" spans="1:1865" ht="20.100000000000001" customHeight="1" x14ac:dyDescent="0.3">
      <c r="A82" s="100" t="s">
        <v>21</v>
      </c>
      <c r="B82" s="63"/>
      <c r="C82" s="218"/>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165"/>
      <c r="BHG82" s="166"/>
      <c r="BHH82" s="166"/>
      <c r="BHI82" s="166"/>
      <c r="BHJ82" s="166"/>
      <c r="BHK82" s="166"/>
      <c r="BHL82" s="166"/>
      <c r="BHM82" s="166"/>
      <c r="BHN82" s="166"/>
      <c r="BHO82" s="166"/>
      <c r="BHP82" s="166"/>
      <c r="BHQ82" s="166"/>
      <c r="BHR82" s="166"/>
      <c r="BHS82" s="166"/>
      <c r="BHT82" s="166"/>
      <c r="BHU82" s="166"/>
      <c r="BHV82" s="166"/>
      <c r="BHW82" s="166"/>
      <c r="BHX82" s="166"/>
      <c r="BHY82" s="166"/>
      <c r="BHZ82" s="166"/>
      <c r="BIA82" s="166"/>
      <c r="BIB82" s="166"/>
      <c r="BIC82" s="166"/>
      <c r="BID82" s="166"/>
      <c r="BIE82" s="166"/>
      <c r="BIF82" s="166"/>
      <c r="BIG82" s="166"/>
      <c r="BIH82" s="166"/>
      <c r="BII82" s="166"/>
      <c r="BIJ82" s="166"/>
      <c r="BIK82" s="166"/>
      <c r="BIL82" s="166"/>
      <c r="BIM82" s="166"/>
      <c r="BIN82" s="166"/>
      <c r="BIO82" s="166"/>
      <c r="BIP82" s="166"/>
      <c r="BIQ82" s="166"/>
      <c r="BIR82" s="166"/>
      <c r="BIS82" s="166"/>
      <c r="BIT82" s="166"/>
      <c r="BIU82" s="166"/>
      <c r="BIV82" s="166"/>
      <c r="BIW82" s="166"/>
      <c r="BIX82" s="166"/>
      <c r="BIY82" s="166"/>
      <c r="BIZ82" s="166"/>
      <c r="BJA82" s="166"/>
      <c r="BJB82" s="166"/>
      <c r="BJC82" s="166"/>
      <c r="BJD82" s="166"/>
      <c r="BJE82" s="166"/>
      <c r="BJF82" s="166"/>
      <c r="BJG82" s="166"/>
      <c r="BJH82" s="166"/>
      <c r="BJI82" s="166"/>
      <c r="BJJ82" s="166"/>
      <c r="BJK82" s="166"/>
      <c r="BJL82" s="166"/>
      <c r="BJM82" s="166"/>
      <c r="BJN82" s="166"/>
      <c r="BJO82" s="166"/>
      <c r="BJP82" s="166"/>
      <c r="BJQ82" s="166"/>
      <c r="BJR82" s="166"/>
      <c r="BJS82" s="166"/>
      <c r="BJT82" s="166"/>
      <c r="BJU82" s="166"/>
      <c r="BJV82" s="166"/>
      <c r="BJW82" s="166"/>
      <c r="BJX82" s="166"/>
      <c r="BJY82" s="166"/>
      <c r="BJZ82" s="166"/>
      <c r="BKA82" s="166"/>
      <c r="BKB82" s="166"/>
      <c r="BKC82" s="166"/>
      <c r="BKD82" s="166"/>
      <c r="BKE82" s="166"/>
      <c r="BKF82" s="166"/>
      <c r="BKG82" s="166"/>
      <c r="BKH82" s="166"/>
      <c r="BKI82" s="166"/>
      <c r="BKJ82" s="166"/>
      <c r="BKK82" s="166"/>
      <c r="BKL82" s="166"/>
      <c r="BKM82" s="166"/>
      <c r="BKN82" s="166"/>
      <c r="BKO82" s="166"/>
      <c r="BKP82" s="166"/>
      <c r="BKQ82" s="166"/>
      <c r="BKR82" s="166"/>
      <c r="BKS82" s="166"/>
      <c r="BKT82" s="166"/>
      <c r="BKU82" s="166"/>
      <c r="BKV82" s="166"/>
      <c r="BKW82" s="166"/>
      <c r="BKX82" s="166"/>
      <c r="BKY82" s="166"/>
      <c r="BKZ82" s="166"/>
      <c r="BLA82" s="166"/>
      <c r="BLB82" s="166"/>
      <c r="BLC82" s="166"/>
      <c r="BLD82" s="166"/>
      <c r="BLE82" s="166"/>
      <c r="BLF82" s="166"/>
      <c r="BLG82" s="166"/>
      <c r="BLH82" s="166"/>
      <c r="BLI82" s="166"/>
      <c r="BLJ82" s="166"/>
      <c r="BLK82" s="166"/>
      <c r="BLL82" s="166"/>
      <c r="BLM82" s="166"/>
      <c r="BLN82" s="166"/>
      <c r="BLO82" s="166"/>
      <c r="BLP82" s="166"/>
      <c r="BLQ82" s="166"/>
      <c r="BLR82" s="166"/>
      <c r="BLS82" s="166"/>
      <c r="BLT82" s="166"/>
      <c r="BLU82" s="166"/>
      <c r="BLV82" s="166"/>
      <c r="BLW82" s="166"/>
      <c r="BLX82" s="166"/>
      <c r="BLY82" s="166"/>
      <c r="BLZ82" s="166"/>
      <c r="BMA82" s="166"/>
      <c r="BMB82" s="166"/>
      <c r="BMC82" s="166"/>
      <c r="BMD82" s="166"/>
      <c r="BME82" s="166"/>
      <c r="BMF82" s="166"/>
      <c r="BMG82" s="166"/>
      <c r="BMH82" s="166"/>
      <c r="BMI82" s="166"/>
      <c r="BMJ82" s="166"/>
      <c r="BMK82" s="166"/>
      <c r="BML82" s="166"/>
      <c r="BMM82" s="166"/>
      <c r="BMN82" s="166"/>
      <c r="BMO82" s="166"/>
      <c r="BMP82" s="166"/>
      <c r="BMQ82" s="166"/>
      <c r="BMR82" s="166"/>
      <c r="BMS82" s="166"/>
      <c r="BMT82" s="166"/>
      <c r="BMU82" s="166"/>
      <c r="BMV82" s="166"/>
      <c r="BMW82" s="166"/>
      <c r="BMX82" s="166"/>
      <c r="BMY82" s="166"/>
      <c r="BMZ82" s="166"/>
      <c r="BNA82" s="166"/>
      <c r="BNB82" s="166"/>
      <c r="BNC82" s="166"/>
      <c r="BND82" s="166"/>
      <c r="BNE82" s="166"/>
      <c r="BNF82" s="166"/>
      <c r="BNG82" s="166"/>
      <c r="BNH82" s="166"/>
      <c r="BNI82" s="166"/>
      <c r="BNJ82" s="166"/>
      <c r="BNK82" s="166"/>
      <c r="BNL82" s="166"/>
      <c r="BNM82" s="166"/>
      <c r="BNN82" s="166"/>
      <c r="BNO82" s="166"/>
      <c r="BNP82" s="166"/>
      <c r="BNQ82" s="166"/>
      <c r="BNR82" s="166"/>
      <c r="BNS82" s="166"/>
      <c r="BNT82" s="166"/>
      <c r="BNU82" s="166"/>
      <c r="BNV82" s="166"/>
      <c r="BNW82" s="166"/>
      <c r="BNX82" s="166"/>
      <c r="BNY82" s="166"/>
      <c r="BNZ82" s="166"/>
      <c r="BOA82" s="166"/>
      <c r="BOB82" s="166"/>
      <c r="BOC82" s="166"/>
      <c r="BOD82" s="166"/>
      <c r="BOE82" s="166"/>
      <c r="BOF82" s="166"/>
      <c r="BOG82" s="166"/>
      <c r="BOH82" s="166"/>
      <c r="BOI82" s="166"/>
      <c r="BOJ82" s="166"/>
      <c r="BOK82" s="166"/>
      <c r="BOL82" s="166"/>
      <c r="BOM82" s="166"/>
      <c r="BON82" s="166"/>
      <c r="BOO82" s="166"/>
      <c r="BOP82" s="166"/>
      <c r="BOQ82" s="166"/>
      <c r="BOR82" s="166"/>
      <c r="BOS82" s="166"/>
      <c r="BOT82" s="166"/>
      <c r="BOU82" s="166"/>
      <c r="BOV82" s="166"/>
      <c r="BOW82" s="166"/>
      <c r="BOX82" s="166"/>
      <c r="BOY82" s="166"/>
      <c r="BOZ82" s="166"/>
      <c r="BPA82" s="166"/>
      <c r="BPB82" s="166"/>
      <c r="BPC82" s="166"/>
      <c r="BPD82" s="166"/>
      <c r="BPE82" s="166"/>
      <c r="BPF82" s="166"/>
      <c r="BPG82" s="166"/>
      <c r="BPH82" s="166"/>
      <c r="BPI82" s="166"/>
      <c r="BPJ82" s="166"/>
      <c r="BPK82" s="166"/>
      <c r="BPL82" s="166"/>
      <c r="BPM82" s="166"/>
      <c r="BPN82" s="166"/>
      <c r="BPO82" s="166"/>
      <c r="BPP82" s="166"/>
      <c r="BPQ82" s="166"/>
      <c r="BPR82" s="166"/>
      <c r="BPS82" s="166"/>
      <c r="BPT82" s="166"/>
      <c r="BPU82" s="166"/>
      <c r="BPV82" s="166"/>
      <c r="BPW82" s="166"/>
      <c r="BPX82" s="166"/>
      <c r="BPY82" s="166"/>
      <c r="BPZ82" s="166"/>
      <c r="BQA82" s="166"/>
      <c r="BQB82" s="166"/>
      <c r="BQC82" s="166"/>
      <c r="BQD82" s="166"/>
      <c r="BQE82" s="166"/>
      <c r="BQF82" s="166"/>
      <c r="BQG82" s="166"/>
      <c r="BQH82" s="166"/>
      <c r="BQI82" s="166"/>
      <c r="BQJ82" s="166"/>
      <c r="BQK82" s="166"/>
      <c r="BQL82" s="166"/>
      <c r="BQM82" s="166"/>
      <c r="BQN82" s="166"/>
      <c r="BQO82" s="166"/>
      <c r="BQP82" s="166"/>
      <c r="BQQ82" s="166"/>
      <c r="BQR82" s="166"/>
      <c r="BQS82" s="166"/>
      <c r="BQT82" s="166"/>
      <c r="BQU82" s="166"/>
      <c r="BQV82" s="166"/>
      <c r="BQW82" s="166"/>
      <c r="BQX82" s="166"/>
      <c r="BQY82" s="166"/>
      <c r="BQZ82" s="166"/>
      <c r="BRA82" s="166"/>
      <c r="BRB82" s="166"/>
      <c r="BRC82" s="166"/>
      <c r="BRD82" s="166"/>
      <c r="BRE82" s="166"/>
      <c r="BRF82" s="166"/>
      <c r="BRG82" s="166"/>
      <c r="BRH82" s="166"/>
      <c r="BRI82" s="166"/>
      <c r="BRJ82" s="166"/>
      <c r="BRK82" s="166"/>
      <c r="BRL82" s="166"/>
      <c r="BRM82" s="166"/>
      <c r="BRN82" s="166"/>
      <c r="BRO82" s="166"/>
      <c r="BRP82" s="166"/>
      <c r="BRQ82" s="166"/>
      <c r="BRR82" s="166"/>
      <c r="BRS82" s="166"/>
      <c r="BRT82" s="166"/>
      <c r="BRU82" s="166"/>
      <c r="BRV82" s="166"/>
      <c r="BRW82" s="166"/>
      <c r="BRX82" s="166"/>
      <c r="BRY82" s="166"/>
      <c r="BRZ82" s="166"/>
      <c r="BSA82" s="166"/>
      <c r="BSB82" s="166"/>
      <c r="BSC82" s="166"/>
      <c r="BSD82" s="166"/>
      <c r="BSE82" s="166"/>
      <c r="BSF82" s="166"/>
      <c r="BSG82" s="166"/>
      <c r="BSH82" s="166"/>
      <c r="BSI82" s="166"/>
      <c r="BSJ82" s="166"/>
      <c r="BSK82" s="166"/>
      <c r="BSL82" s="166"/>
      <c r="BSM82" s="166"/>
      <c r="BSN82" s="166"/>
      <c r="BSO82" s="166"/>
      <c r="BSP82" s="166"/>
      <c r="BSQ82" s="166"/>
      <c r="BSR82" s="166"/>
      <c r="BSS82" s="166"/>
    </row>
    <row r="83" spans="1:1865" ht="20.100000000000001" customHeight="1" x14ac:dyDescent="0.25">
      <c r="A83" s="100" t="s">
        <v>20</v>
      </c>
      <c r="B83" s="63"/>
      <c r="C83" s="207"/>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165"/>
      <c r="BHG83" s="166"/>
      <c r="BHH83" s="166"/>
      <c r="BHI83" s="166"/>
      <c r="BHJ83" s="166"/>
      <c r="BHK83" s="166"/>
      <c r="BHL83" s="166"/>
      <c r="BHM83" s="166"/>
      <c r="BHN83" s="166"/>
      <c r="BHO83" s="166"/>
      <c r="BHP83" s="166"/>
      <c r="BHQ83" s="166"/>
      <c r="BHR83" s="166"/>
      <c r="BHS83" s="166"/>
      <c r="BHT83" s="166"/>
      <c r="BHU83" s="166"/>
      <c r="BHV83" s="166"/>
      <c r="BHW83" s="166"/>
      <c r="BHX83" s="166"/>
      <c r="BHY83" s="166"/>
      <c r="BHZ83" s="166"/>
      <c r="BIA83" s="166"/>
      <c r="BIB83" s="166"/>
      <c r="BIC83" s="166"/>
      <c r="BID83" s="166"/>
      <c r="BIE83" s="166"/>
      <c r="BIF83" s="166"/>
      <c r="BIG83" s="166"/>
      <c r="BIH83" s="166"/>
      <c r="BII83" s="166"/>
      <c r="BIJ83" s="166"/>
      <c r="BIK83" s="166"/>
      <c r="BIL83" s="166"/>
      <c r="BIM83" s="166"/>
      <c r="BIN83" s="166"/>
      <c r="BIO83" s="166"/>
      <c r="BIP83" s="166"/>
      <c r="BIQ83" s="166"/>
      <c r="BIR83" s="166"/>
      <c r="BIS83" s="166"/>
      <c r="BIT83" s="166"/>
      <c r="BIU83" s="166"/>
      <c r="BIV83" s="166"/>
      <c r="BIW83" s="166"/>
      <c r="BIX83" s="166"/>
      <c r="BIY83" s="166"/>
      <c r="BIZ83" s="166"/>
      <c r="BJA83" s="166"/>
      <c r="BJB83" s="166"/>
      <c r="BJC83" s="166"/>
      <c r="BJD83" s="166"/>
      <c r="BJE83" s="166"/>
      <c r="BJF83" s="166"/>
      <c r="BJG83" s="166"/>
      <c r="BJH83" s="166"/>
      <c r="BJI83" s="166"/>
      <c r="BJJ83" s="166"/>
      <c r="BJK83" s="166"/>
      <c r="BJL83" s="166"/>
      <c r="BJM83" s="166"/>
      <c r="BJN83" s="166"/>
      <c r="BJO83" s="166"/>
      <c r="BJP83" s="166"/>
      <c r="BJQ83" s="166"/>
      <c r="BJR83" s="166"/>
      <c r="BJS83" s="166"/>
      <c r="BJT83" s="166"/>
      <c r="BJU83" s="166"/>
      <c r="BJV83" s="166"/>
      <c r="BJW83" s="166"/>
      <c r="BJX83" s="166"/>
      <c r="BJY83" s="166"/>
      <c r="BJZ83" s="166"/>
      <c r="BKA83" s="166"/>
      <c r="BKB83" s="166"/>
      <c r="BKC83" s="166"/>
      <c r="BKD83" s="166"/>
      <c r="BKE83" s="166"/>
      <c r="BKF83" s="166"/>
      <c r="BKG83" s="166"/>
      <c r="BKH83" s="166"/>
      <c r="BKI83" s="166"/>
      <c r="BKJ83" s="166"/>
      <c r="BKK83" s="166"/>
      <c r="BKL83" s="166"/>
      <c r="BKM83" s="166"/>
      <c r="BKN83" s="166"/>
      <c r="BKO83" s="166"/>
      <c r="BKP83" s="166"/>
      <c r="BKQ83" s="166"/>
      <c r="BKR83" s="166"/>
      <c r="BKS83" s="166"/>
      <c r="BKT83" s="166"/>
      <c r="BKU83" s="166"/>
      <c r="BKV83" s="166"/>
      <c r="BKW83" s="166"/>
      <c r="BKX83" s="166"/>
      <c r="BKY83" s="166"/>
      <c r="BKZ83" s="166"/>
      <c r="BLA83" s="166"/>
      <c r="BLB83" s="166"/>
      <c r="BLC83" s="166"/>
      <c r="BLD83" s="166"/>
      <c r="BLE83" s="166"/>
      <c r="BLF83" s="166"/>
      <c r="BLG83" s="166"/>
      <c r="BLH83" s="166"/>
      <c r="BLI83" s="166"/>
      <c r="BLJ83" s="166"/>
      <c r="BLK83" s="166"/>
      <c r="BLL83" s="166"/>
      <c r="BLM83" s="166"/>
      <c r="BLN83" s="166"/>
      <c r="BLO83" s="166"/>
      <c r="BLP83" s="166"/>
      <c r="BLQ83" s="166"/>
      <c r="BLR83" s="166"/>
      <c r="BLS83" s="166"/>
      <c r="BLT83" s="166"/>
      <c r="BLU83" s="166"/>
      <c r="BLV83" s="166"/>
      <c r="BLW83" s="166"/>
      <c r="BLX83" s="166"/>
      <c r="BLY83" s="166"/>
      <c r="BLZ83" s="166"/>
      <c r="BMA83" s="166"/>
      <c r="BMB83" s="166"/>
      <c r="BMC83" s="166"/>
      <c r="BMD83" s="166"/>
      <c r="BME83" s="166"/>
      <c r="BMF83" s="166"/>
      <c r="BMG83" s="166"/>
      <c r="BMH83" s="166"/>
      <c r="BMI83" s="166"/>
      <c r="BMJ83" s="166"/>
      <c r="BMK83" s="166"/>
      <c r="BML83" s="166"/>
      <c r="BMM83" s="166"/>
      <c r="BMN83" s="166"/>
      <c r="BMO83" s="166"/>
      <c r="BMP83" s="166"/>
      <c r="BMQ83" s="166"/>
      <c r="BMR83" s="166"/>
      <c r="BMS83" s="166"/>
      <c r="BMT83" s="166"/>
      <c r="BMU83" s="166"/>
      <c r="BMV83" s="166"/>
      <c r="BMW83" s="166"/>
      <c r="BMX83" s="166"/>
      <c r="BMY83" s="166"/>
      <c r="BMZ83" s="166"/>
      <c r="BNA83" s="166"/>
      <c r="BNB83" s="166"/>
      <c r="BNC83" s="166"/>
      <c r="BND83" s="166"/>
      <c r="BNE83" s="166"/>
      <c r="BNF83" s="166"/>
      <c r="BNG83" s="166"/>
      <c r="BNH83" s="166"/>
      <c r="BNI83" s="166"/>
      <c r="BNJ83" s="166"/>
      <c r="BNK83" s="166"/>
      <c r="BNL83" s="166"/>
      <c r="BNM83" s="166"/>
      <c r="BNN83" s="166"/>
      <c r="BNO83" s="166"/>
      <c r="BNP83" s="166"/>
      <c r="BNQ83" s="166"/>
      <c r="BNR83" s="166"/>
      <c r="BNS83" s="166"/>
      <c r="BNT83" s="166"/>
      <c r="BNU83" s="166"/>
      <c r="BNV83" s="166"/>
      <c r="BNW83" s="166"/>
      <c r="BNX83" s="166"/>
      <c r="BNY83" s="166"/>
      <c r="BNZ83" s="166"/>
      <c r="BOA83" s="166"/>
      <c r="BOB83" s="166"/>
      <c r="BOC83" s="166"/>
      <c r="BOD83" s="166"/>
      <c r="BOE83" s="166"/>
      <c r="BOF83" s="166"/>
      <c r="BOG83" s="166"/>
      <c r="BOH83" s="166"/>
      <c r="BOI83" s="166"/>
      <c r="BOJ83" s="166"/>
      <c r="BOK83" s="166"/>
      <c r="BOL83" s="166"/>
      <c r="BOM83" s="166"/>
      <c r="BON83" s="166"/>
      <c r="BOO83" s="166"/>
      <c r="BOP83" s="166"/>
      <c r="BOQ83" s="166"/>
      <c r="BOR83" s="166"/>
      <c r="BOS83" s="166"/>
      <c r="BOT83" s="166"/>
      <c r="BOU83" s="166"/>
      <c r="BOV83" s="166"/>
      <c r="BOW83" s="166"/>
      <c r="BOX83" s="166"/>
      <c r="BOY83" s="166"/>
      <c r="BOZ83" s="166"/>
      <c r="BPA83" s="166"/>
      <c r="BPB83" s="166"/>
      <c r="BPC83" s="166"/>
      <c r="BPD83" s="166"/>
      <c r="BPE83" s="166"/>
      <c r="BPF83" s="166"/>
      <c r="BPG83" s="166"/>
      <c r="BPH83" s="166"/>
      <c r="BPI83" s="166"/>
      <c r="BPJ83" s="166"/>
      <c r="BPK83" s="166"/>
      <c r="BPL83" s="166"/>
      <c r="BPM83" s="166"/>
      <c r="BPN83" s="166"/>
      <c r="BPO83" s="166"/>
      <c r="BPP83" s="166"/>
      <c r="BPQ83" s="166"/>
      <c r="BPR83" s="166"/>
      <c r="BPS83" s="166"/>
      <c r="BPT83" s="166"/>
      <c r="BPU83" s="166"/>
      <c r="BPV83" s="166"/>
      <c r="BPW83" s="166"/>
      <c r="BPX83" s="166"/>
      <c r="BPY83" s="166"/>
      <c r="BPZ83" s="166"/>
      <c r="BQA83" s="166"/>
      <c r="BQB83" s="166"/>
      <c r="BQC83" s="166"/>
      <c r="BQD83" s="166"/>
      <c r="BQE83" s="166"/>
      <c r="BQF83" s="166"/>
      <c r="BQG83" s="166"/>
      <c r="BQH83" s="166"/>
      <c r="BQI83" s="166"/>
      <c r="BQJ83" s="166"/>
      <c r="BQK83" s="166"/>
      <c r="BQL83" s="166"/>
      <c r="BQM83" s="166"/>
      <c r="BQN83" s="166"/>
      <c r="BQO83" s="166"/>
      <c r="BQP83" s="166"/>
      <c r="BQQ83" s="166"/>
      <c r="BQR83" s="166"/>
      <c r="BQS83" s="166"/>
      <c r="BQT83" s="166"/>
      <c r="BQU83" s="166"/>
      <c r="BQV83" s="166"/>
      <c r="BQW83" s="166"/>
      <c r="BQX83" s="166"/>
      <c r="BQY83" s="166"/>
      <c r="BQZ83" s="166"/>
      <c r="BRA83" s="166"/>
      <c r="BRB83" s="166"/>
      <c r="BRC83" s="166"/>
      <c r="BRD83" s="166"/>
      <c r="BRE83" s="166"/>
      <c r="BRF83" s="166"/>
      <c r="BRG83" s="166"/>
      <c r="BRH83" s="166"/>
      <c r="BRI83" s="166"/>
      <c r="BRJ83" s="166"/>
      <c r="BRK83" s="166"/>
      <c r="BRL83" s="166"/>
      <c r="BRM83" s="166"/>
      <c r="BRN83" s="166"/>
      <c r="BRO83" s="166"/>
      <c r="BRP83" s="166"/>
      <c r="BRQ83" s="166"/>
      <c r="BRR83" s="166"/>
      <c r="BRS83" s="166"/>
      <c r="BRT83" s="166"/>
      <c r="BRU83" s="166"/>
      <c r="BRV83" s="166"/>
      <c r="BRW83" s="166"/>
      <c r="BRX83" s="166"/>
      <c r="BRY83" s="166"/>
      <c r="BRZ83" s="166"/>
      <c r="BSA83" s="166"/>
      <c r="BSB83" s="166"/>
      <c r="BSC83" s="166"/>
      <c r="BSD83" s="166"/>
      <c r="BSE83" s="166"/>
      <c r="BSF83" s="166"/>
      <c r="BSG83" s="166"/>
      <c r="BSH83" s="166"/>
      <c r="BSI83" s="166"/>
      <c r="BSJ83" s="166"/>
      <c r="BSK83" s="166"/>
      <c r="BSL83" s="166"/>
      <c r="BSM83" s="166"/>
      <c r="BSN83" s="166"/>
      <c r="BSO83" s="166"/>
      <c r="BSP83" s="166"/>
      <c r="BSQ83" s="166"/>
      <c r="BSR83" s="166"/>
      <c r="BSS83" s="166"/>
    </row>
    <row r="84" spans="1:1865" ht="20.100000000000001" customHeight="1" x14ac:dyDescent="0.25">
      <c r="A84" s="100" t="s">
        <v>21</v>
      </c>
      <c r="B84" s="63"/>
      <c r="C84" s="208"/>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165"/>
      <c r="BHG84" s="166"/>
      <c r="BHH84" s="166"/>
      <c r="BHI84" s="166"/>
      <c r="BHJ84" s="166"/>
      <c r="BHK84" s="166"/>
      <c r="BHL84" s="166"/>
      <c r="BHM84" s="166"/>
      <c r="BHN84" s="166"/>
      <c r="BHO84" s="166"/>
      <c r="BHP84" s="166"/>
      <c r="BHQ84" s="166"/>
      <c r="BHR84" s="166"/>
      <c r="BHS84" s="166"/>
      <c r="BHT84" s="166"/>
      <c r="BHU84" s="166"/>
      <c r="BHV84" s="166"/>
      <c r="BHW84" s="166"/>
      <c r="BHX84" s="166"/>
      <c r="BHY84" s="166"/>
      <c r="BHZ84" s="166"/>
      <c r="BIA84" s="166"/>
      <c r="BIB84" s="166"/>
      <c r="BIC84" s="166"/>
      <c r="BID84" s="166"/>
      <c r="BIE84" s="166"/>
      <c r="BIF84" s="166"/>
      <c r="BIG84" s="166"/>
      <c r="BIH84" s="166"/>
      <c r="BII84" s="166"/>
      <c r="BIJ84" s="166"/>
      <c r="BIK84" s="166"/>
      <c r="BIL84" s="166"/>
      <c r="BIM84" s="166"/>
      <c r="BIN84" s="166"/>
      <c r="BIO84" s="166"/>
      <c r="BIP84" s="166"/>
      <c r="BIQ84" s="166"/>
      <c r="BIR84" s="166"/>
      <c r="BIS84" s="166"/>
      <c r="BIT84" s="166"/>
      <c r="BIU84" s="166"/>
      <c r="BIV84" s="166"/>
      <c r="BIW84" s="166"/>
      <c r="BIX84" s="166"/>
      <c r="BIY84" s="166"/>
      <c r="BIZ84" s="166"/>
      <c r="BJA84" s="166"/>
      <c r="BJB84" s="166"/>
      <c r="BJC84" s="166"/>
      <c r="BJD84" s="166"/>
      <c r="BJE84" s="166"/>
      <c r="BJF84" s="166"/>
      <c r="BJG84" s="166"/>
      <c r="BJH84" s="166"/>
      <c r="BJI84" s="166"/>
      <c r="BJJ84" s="166"/>
      <c r="BJK84" s="166"/>
      <c r="BJL84" s="166"/>
      <c r="BJM84" s="166"/>
      <c r="BJN84" s="166"/>
      <c r="BJO84" s="166"/>
      <c r="BJP84" s="166"/>
      <c r="BJQ84" s="166"/>
      <c r="BJR84" s="166"/>
      <c r="BJS84" s="166"/>
      <c r="BJT84" s="166"/>
      <c r="BJU84" s="166"/>
      <c r="BJV84" s="166"/>
      <c r="BJW84" s="166"/>
      <c r="BJX84" s="166"/>
      <c r="BJY84" s="166"/>
      <c r="BJZ84" s="166"/>
      <c r="BKA84" s="166"/>
      <c r="BKB84" s="166"/>
      <c r="BKC84" s="166"/>
      <c r="BKD84" s="166"/>
      <c r="BKE84" s="166"/>
      <c r="BKF84" s="166"/>
      <c r="BKG84" s="166"/>
      <c r="BKH84" s="166"/>
      <c r="BKI84" s="166"/>
      <c r="BKJ84" s="166"/>
      <c r="BKK84" s="166"/>
      <c r="BKL84" s="166"/>
      <c r="BKM84" s="166"/>
      <c r="BKN84" s="166"/>
      <c r="BKO84" s="166"/>
      <c r="BKP84" s="166"/>
      <c r="BKQ84" s="166"/>
      <c r="BKR84" s="166"/>
      <c r="BKS84" s="166"/>
      <c r="BKT84" s="166"/>
      <c r="BKU84" s="166"/>
      <c r="BKV84" s="166"/>
      <c r="BKW84" s="166"/>
      <c r="BKX84" s="166"/>
      <c r="BKY84" s="166"/>
      <c r="BKZ84" s="166"/>
      <c r="BLA84" s="166"/>
      <c r="BLB84" s="166"/>
      <c r="BLC84" s="166"/>
      <c r="BLD84" s="166"/>
      <c r="BLE84" s="166"/>
      <c r="BLF84" s="166"/>
      <c r="BLG84" s="166"/>
      <c r="BLH84" s="166"/>
      <c r="BLI84" s="166"/>
      <c r="BLJ84" s="166"/>
      <c r="BLK84" s="166"/>
      <c r="BLL84" s="166"/>
      <c r="BLM84" s="166"/>
      <c r="BLN84" s="166"/>
      <c r="BLO84" s="166"/>
      <c r="BLP84" s="166"/>
      <c r="BLQ84" s="166"/>
      <c r="BLR84" s="166"/>
      <c r="BLS84" s="166"/>
      <c r="BLT84" s="166"/>
      <c r="BLU84" s="166"/>
      <c r="BLV84" s="166"/>
      <c r="BLW84" s="166"/>
      <c r="BLX84" s="166"/>
      <c r="BLY84" s="166"/>
      <c r="BLZ84" s="166"/>
      <c r="BMA84" s="166"/>
      <c r="BMB84" s="166"/>
      <c r="BMC84" s="166"/>
      <c r="BMD84" s="166"/>
      <c r="BME84" s="166"/>
      <c r="BMF84" s="166"/>
      <c r="BMG84" s="166"/>
      <c r="BMH84" s="166"/>
      <c r="BMI84" s="166"/>
      <c r="BMJ84" s="166"/>
      <c r="BMK84" s="166"/>
      <c r="BML84" s="166"/>
      <c r="BMM84" s="166"/>
      <c r="BMN84" s="166"/>
      <c r="BMO84" s="166"/>
      <c r="BMP84" s="166"/>
      <c r="BMQ84" s="166"/>
      <c r="BMR84" s="166"/>
      <c r="BMS84" s="166"/>
      <c r="BMT84" s="166"/>
      <c r="BMU84" s="166"/>
      <c r="BMV84" s="166"/>
      <c r="BMW84" s="166"/>
      <c r="BMX84" s="166"/>
      <c r="BMY84" s="166"/>
      <c r="BMZ84" s="166"/>
      <c r="BNA84" s="166"/>
      <c r="BNB84" s="166"/>
      <c r="BNC84" s="166"/>
      <c r="BND84" s="166"/>
      <c r="BNE84" s="166"/>
      <c r="BNF84" s="166"/>
      <c r="BNG84" s="166"/>
      <c r="BNH84" s="166"/>
      <c r="BNI84" s="166"/>
      <c r="BNJ84" s="166"/>
      <c r="BNK84" s="166"/>
      <c r="BNL84" s="166"/>
      <c r="BNM84" s="166"/>
      <c r="BNN84" s="166"/>
      <c r="BNO84" s="166"/>
      <c r="BNP84" s="166"/>
      <c r="BNQ84" s="166"/>
      <c r="BNR84" s="166"/>
      <c r="BNS84" s="166"/>
      <c r="BNT84" s="166"/>
      <c r="BNU84" s="166"/>
      <c r="BNV84" s="166"/>
      <c r="BNW84" s="166"/>
      <c r="BNX84" s="166"/>
      <c r="BNY84" s="166"/>
      <c r="BNZ84" s="166"/>
      <c r="BOA84" s="166"/>
      <c r="BOB84" s="166"/>
      <c r="BOC84" s="166"/>
      <c r="BOD84" s="166"/>
      <c r="BOE84" s="166"/>
      <c r="BOF84" s="166"/>
      <c r="BOG84" s="166"/>
      <c r="BOH84" s="166"/>
      <c r="BOI84" s="166"/>
      <c r="BOJ84" s="166"/>
      <c r="BOK84" s="166"/>
      <c r="BOL84" s="166"/>
      <c r="BOM84" s="166"/>
      <c r="BON84" s="166"/>
      <c r="BOO84" s="166"/>
      <c r="BOP84" s="166"/>
      <c r="BOQ84" s="166"/>
      <c r="BOR84" s="166"/>
      <c r="BOS84" s="166"/>
      <c r="BOT84" s="166"/>
      <c r="BOU84" s="166"/>
      <c r="BOV84" s="166"/>
      <c r="BOW84" s="166"/>
      <c r="BOX84" s="166"/>
      <c r="BOY84" s="166"/>
      <c r="BOZ84" s="166"/>
      <c r="BPA84" s="166"/>
      <c r="BPB84" s="166"/>
      <c r="BPC84" s="166"/>
      <c r="BPD84" s="166"/>
      <c r="BPE84" s="166"/>
      <c r="BPF84" s="166"/>
      <c r="BPG84" s="166"/>
      <c r="BPH84" s="166"/>
      <c r="BPI84" s="166"/>
      <c r="BPJ84" s="166"/>
      <c r="BPK84" s="166"/>
      <c r="BPL84" s="166"/>
      <c r="BPM84" s="166"/>
      <c r="BPN84" s="166"/>
      <c r="BPO84" s="166"/>
      <c r="BPP84" s="166"/>
      <c r="BPQ84" s="166"/>
      <c r="BPR84" s="166"/>
      <c r="BPS84" s="166"/>
      <c r="BPT84" s="166"/>
      <c r="BPU84" s="166"/>
      <c r="BPV84" s="166"/>
      <c r="BPW84" s="166"/>
      <c r="BPX84" s="166"/>
      <c r="BPY84" s="166"/>
      <c r="BPZ84" s="166"/>
      <c r="BQA84" s="166"/>
      <c r="BQB84" s="166"/>
      <c r="BQC84" s="166"/>
      <c r="BQD84" s="166"/>
      <c r="BQE84" s="166"/>
      <c r="BQF84" s="166"/>
      <c r="BQG84" s="166"/>
      <c r="BQH84" s="166"/>
      <c r="BQI84" s="166"/>
      <c r="BQJ84" s="166"/>
      <c r="BQK84" s="166"/>
      <c r="BQL84" s="166"/>
      <c r="BQM84" s="166"/>
      <c r="BQN84" s="166"/>
      <c r="BQO84" s="166"/>
      <c r="BQP84" s="166"/>
      <c r="BQQ84" s="166"/>
      <c r="BQR84" s="166"/>
      <c r="BQS84" s="166"/>
      <c r="BQT84" s="166"/>
      <c r="BQU84" s="166"/>
      <c r="BQV84" s="166"/>
      <c r="BQW84" s="166"/>
      <c r="BQX84" s="166"/>
      <c r="BQY84" s="166"/>
      <c r="BQZ84" s="166"/>
      <c r="BRA84" s="166"/>
      <c r="BRB84" s="166"/>
      <c r="BRC84" s="166"/>
      <c r="BRD84" s="166"/>
      <c r="BRE84" s="166"/>
      <c r="BRF84" s="166"/>
      <c r="BRG84" s="166"/>
      <c r="BRH84" s="166"/>
      <c r="BRI84" s="166"/>
      <c r="BRJ84" s="166"/>
      <c r="BRK84" s="166"/>
      <c r="BRL84" s="166"/>
      <c r="BRM84" s="166"/>
      <c r="BRN84" s="166"/>
      <c r="BRO84" s="166"/>
      <c r="BRP84" s="166"/>
      <c r="BRQ84" s="166"/>
      <c r="BRR84" s="166"/>
      <c r="BRS84" s="166"/>
      <c r="BRT84" s="166"/>
      <c r="BRU84" s="166"/>
      <c r="BRV84" s="166"/>
      <c r="BRW84" s="166"/>
      <c r="BRX84" s="166"/>
      <c r="BRY84" s="166"/>
      <c r="BRZ84" s="166"/>
      <c r="BSA84" s="166"/>
      <c r="BSB84" s="166"/>
      <c r="BSC84" s="166"/>
      <c r="BSD84" s="166"/>
      <c r="BSE84" s="166"/>
      <c r="BSF84" s="166"/>
      <c r="BSG84" s="166"/>
      <c r="BSH84" s="166"/>
      <c r="BSI84" s="166"/>
      <c r="BSJ84" s="166"/>
      <c r="BSK84" s="166"/>
      <c r="BSL84" s="166"/>
      <c r="BSM84" s="166"/>
      <c r="BSN84" s="166"/>
      <c r="BSO84" s="166"/>
      <c r="BSP84" s="166"/>
      <c r="BSQ84" s="166"/>
      <c r="BSR84" s="166"/>
      <c r="BSS84" s="166"/>
    </row>
    <row r="85" spans="1:1865" ht="20.100000000000001" customHeight="1" x14ac:dyDescent="0.25">
      <c r="A85" s="100" t="s">
        <v>20</v>
      </c>
      <c r="B85" s="63"/>
      <c r="C85" s="207"/>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165"/>
      <c r="BHG85" s="166"/>
      <c r="BHH85" s="166"/>
      <c r="BHI85" s="166"/>
      <c r="BHJ85" s="166"/>
      <c r="BHK85" s="166"/>
      <c r="BHL85" s="166"/>
      <c r="BHM85" s="166"/>
      <c r="BHN85" s="166"/>
      <c r="BHO85" s="166"/>
      <c r="BHP85" s="166"/>
      <c r="BHQ85" s="166"/>
      <c r="BHR85" s="166"/>
      <c r="BHS85" s="166"/>
      <c r="BHT85" s="166"/>
      <c r="BHU85" s="166"/>
      <c r="BHV85" s="166"/>
      <c r="BHW85" s="166"/>
      <c r="BHX85" s="166"/>
      <c r="BHY85" s="166"/>
      <c r="BHZ85" s="166"/>
      <c r="BIA85" s="166"/>
      <c r="BIB85" s="166"/>
      <c r="BIC85" s="166"/>
      <c r="BID85" s="166"/>
      <c r="BIE85" s="166"/>
      <c r="BIF85" s="166"/>
      <c r="BIG85" s="166"/>
      <c r="BIH85" s="166"/>
      <c r="BII85" s="166"/>
      <c r="BIJ85" s="166"/>
      <c r="BIK85" s="166"/>
      <c r="BIL85" s="166"/>
      <c r="BIM85" s="166"/>
      <c r="BIN85" s="166"/>
      <c r="BIO85" s="166"/>
      <c r="BIP85" s="166"/>
      <c r="BIQ85" s="166"/>
      <c r="BIR85" s="166"/>
      <c r="BIS85" s="166"/>
      <c r="BIT85" s="166"/>
      <c r="BIU85" s="166"/>
      <c r="BIV85" s="166"/>
      <c r="BIW85" s="166"/>
      <c r="BIX85" s="166"/>
      <c r="BIY85" s="166"/>
      <c r="BIZ85" s="166"/>
      <c r="BJA85" s="166"/>
      <c r="BJB85" s="166"/>
      <c r="BJC85" s="166"/>
      <c r="BJD85" s="166"/>
      <c r="BJE85" s="166"/>
      <c r="BJF85" s="166"/>
      <c r="BJG85" s="166"/>
      <c r="BJH85" s="166"/>
      <c r="BJI85" s="166"/>
      <c r="BJJ85" s="166"/>
      <c r="BJK85" s="166"/>
      <c r="BJL85" s="166"/>
      <c r="BJM85" s="166"/>
      <c r="BJN85" s="166"/>
      <c r="BJO85" s="166"/>
      <c r="BJP85" s="166"/>
      <c r="BJQ85" s="166"/>
      <c r="BJR85" s="166"/>
      <c r="BJS85" s="166"/>
      <c r="BJT85" s="166"/>
      <c r="BJU85" s="166"/>
      <c r="BJV85" s="166"/>
      <c r="BJW85" s="166"/>
      <c r="BJX85" s="166"/>
      <c r="BJY85" s="166"/>
      <c r="BJZ85" s="166"/>
      <c r="BKA85" s="166"/>
      <c r="BKB85" s="166"/>
      <c r="BKC85" s="166"/>
      <c r="BKD85" s="166"/>
      <c r="BKE85" s="166"/>
      <c r="BKF85" s="166"/>
      <c r="BKG85" s="166"/>
      <c r="BKH85" s="166"/>
      <c r="BKI85" s="166"/>
      <c r="BKJ85" s="166"/>
      <c r="BKK85" s="166"/>
      <c r="BKL85" s="166"/>
      <c r="BKM85" s="166"/>
      <c r="BKN85" s="166"/>
      <c r="BKO85" s="166"/>
      <c r="BKP85" s="166"/>
      <c r="BKQ85" s="166"/>
      <c r="BKR85" s="166"/>
      <c r="BKS85" s="166"/>
      <c r="BKT85" s="166"/>
      <c r="BKU85" s="166"/>
      <c r="BKV85" s="166"/>
      <c r="BKW85" s="166"/>
      <c r="BKX85" s="166"/>
      <c r="BKY85" s="166"/>
      <c r="BKZ85" s="166"/>
      <c r="BLA85" s="166"/>
      <c r="BLB85" s="166"/>
      <c r="BLC85" s="166"/>
      <c r="BLD85" s="166"/>
      <c r="BLE85" s="166"/>
      <c r="BLF85" s="166"/>
      <c r="BLG85" s="166"/>
      <c r="BLH85" s="166"/>
      <c r="BLI85" s="166"/>
      <c r="BLJ85" s="166"/>
      <c r="BLK85" s="166"/>
      <c r="BLL85" s="166"/>
      <c r="BLM85" s="166"/>
      <c r="BLN85" s="166"/>
      <c r="BLO85" s="166"/>
      <c r="BLP85" s="166"/>
      <c r="BLQ85" s="166"/>
      <c r="BLR85" s="166"/>
      <c r="BLS85" s="166"/>
      <c r="BLT85" s="166"/>
      <c r="BLU85" s="166"/>
      <c r="BLV85" s="166"/>
      <c r="BLW85" s="166"/>
      <c r="BLX85" s="166"/>
      <c r="BLY85" s="166"/>
      <c r="BLZ85" s="166"/>
      <c r="BMA85" s="166"/>
      <c r="BMB85" s="166"/>
      <c r="BMC85" s="166"/>
      <c r="BMD85" s="166"/>
      <c r="BME85" s="166"/>
      <c r="BMF85" s="166"/>
      <c r="BMG85" s="166"/>
      <c r="BMH85" s="166"/>
      <c r="BMI85" s="166"/>
      <c r="BMJ85" s="166"/>
      <c r="BMK85" s="166"/>
      <c r="BML85" s="166"/>
      <c r="BMM85" s="166"/>
      <c r="BMN85" s="166"/>
      <c r="BMO85" s="166"/>
      <c r="BMP85" s="166"/>
      <c r="BMQ85" s="166"/>
      <c r="BMR85" s="166"/>
      <c r="BMS85" s="166"/>
      <c r="BMT85" s="166"/>
      <c r="BMU85" s="166"/>
      <c r="BMV85" s="166"/>
      <c r="BMW85" s="166"/>
      <c r="BMX85" s="166"/>
      <c r="BMY85" s="166"/>
      <c r="BMZ85" s="166"/>
      <c r="BNA85" s="166"/>
      <c r="BNB85" s="166"/>
      <c r="BNC85" s="166"/>
      <c r="BND85" s="166"/>
      <c r="BNE85" s="166"/>
      <c r="BNF85" s="166"/>
      <c r="BNG85" s="166"/>
      <c r="BNH85" s="166"/>
      <c r="BNI85" s="166"/>
      <c r="BNJ85" s="166"/>
      <c r="BNK85" s="166"/>
      <c r="BNL85" s="166"/>
      <c r="BNM85" s="166"/>
      <c r="BNN85" s="166"/>
      <c r="BNO85" s="166"/>
      <c r="BNP85" s="166"/>
      <c r="BNQ85" s="166"/>
      <c r="BNR85" s="166"/>
      <c r="BNS85" s="166"/>
      <c r="BNT85" s="166"/>
      <c r="BNU85" s="166"/>
      <c r="BNV85" s="166"/>
      <c r="BNW85" s="166"/>
      <c r="BNX85" s="166"/>
      <c r="BNY85" s="166"/>
      <c r="BNZ85" s="166"/>
      <c r="BOA85" s="166"/>
      <c r="BOB85" s="166"/>
      <c r="BOC85" s="166"/>
      <c r="BOD85" s="166"/>
      <c r="BOE85" s="166"/>
      <c r="BOF85" s="166"/>
      <c r="BOG85" s="166"/>
      <c r="BOH85" s="166"/>
      <c r="BOI85" s="166"/>
      <c r="BOJ85" s="166"/>
      <c r="BOK85" s="166"/>
      <c r="BOL85" s="166"/>
      <c r="BOM85" s="166"/>
      <c r="BON85" s="166"/>
      <c r="BOO85" s="166"/>
      <c r="BOP85" s="166"/>
      <c r="BOQ85" s="166"/>
      <c r="BOR85" s="166"/>
      <c r="BOS85" s="166"/>
      <c r="BOT85" s="166"/>
      <c r="BOU85" s="166"/>
      <c r="BOV85" s="166"/>
      <c r="BOW85" s="166"/>
      <c r="BOX85" s="166"/>
      <c r="BOY85" s="166"/>
      <c r="BOZ85" s="166"/>
      <c r="BPA85" s="166"/>
      <c r="BPB85" s="166"/>
      <c r="BPC85" s="166"/>
      <c r="BPD85" s="166"/>
      <c r="BPE85" s="166"/>
      <c r="BPF85" s="166"/>
      <c r="BPG85" s="166"/>
      <c r="BPH85" s="166"/>
      <c r="BPI85" s="166"/>
      <c r="BPJ85" s="166"/>
      <c r="BPK85" s="166"/>
      <c r="BPL85" s="166"/>
      <c r="BPM85" s="166"/>
      <c r="BPN85" s="166"/>
      <c r="BPO85" s="166"/>
      <c r="BPP85" s="166"/>
      <c r="BPQ85" s="166"/>
      <c r="BPR85" s="166"/>
      <c r="BPS85" s="166"/>
      <c r="BPT85" s="166"/>
      <c r="BPU85" s="166"/>
      <c r="BPV85" s="166"/>
      <c r="BPW85" s="166"/>
      <c r="BPX85" s="166"/>
      <c r="BPY85" s="166"/>
      <c r="BPZ85" s="166"/>
      <c r="BQA85" s="166"/>
      <c r="BQB85" s="166"/>
      <c r="BQC85" s="166"/>
      <c r="BQD85" s="166"/>
      <c r="BQE85" s="166"/>
      <c r="BQF85" s="166"/>
      <c r="BQG85" s="166"/>
      <c r="BQH85" s="166"/>
      <c r="BQI85" s="166"/>
      <c r="BQJ85" s="166"/>
      <c r="BQK85" s="166"/>
      <c r="BQL85" s="166"/>
      <c r="BQM85" s="166"/>
      <c r="BQN85" s="166"/>
      <c r="BQO85" s="166"/>
      <c r="BQP85" s="166"/>
      <c r="BQQ85" s="166"/>
      <c r="BQR85" s="166"/>
      <c r="BQS85" s="166"/>
      <c r="BQT85" s="166"/>
      <c r="BQU85" s="166"/>
      <c r="BQV85" s="166"/>
      <c r="BQW85" s="166"/>
      <c r="BQX85" s="166"/>
      <c r="BQY85" s="166"/>
      <c r="BQZ85" s="166"/>
      <c r="BRA85" s="166"/>
      <c r="BRB85" s="166"/>
      <c r="BRC85" s="166"/>
      <c r="BRD85" s="166"/>
      <c r="BRE85" s="166"/>
      <c r="BRF85" s="166"/>
      <c r="BRG85" s="166"/>
      <c r="BRH85" s="166"/>
      <c r="BRI85" s="166"/>
      <c r="BRJ85" s="166"/>
      <c r="BRK85" s="166"/>
      <c r="BRL85" s="166"/>
      <c r="BRM85" s="166"/>
      <c r="BRN85" s="166"/>
      <c r="BRO85" s="166"/>
      <c r="BRP85" s="166"/>
      <c r="BRQ85" s="166"/>
      <c r="BRR85" s="166"/>
      <c r="BRS85" s="166"/>
      <c r="BRT85" s="166"/>
      <c r="BRU85" s="166"/>
      <c r="BRV85" s="166"/>
      <c r="BRW85" s="166"/>
      <c r="BRX85" s="166"/>
      <c r="BRY85" s="166"/>
      <c r="BRZ85" s="166"/>
      <c r="BSA85" s="166"/>
      <c r="BSB85" s="166"/>
      <c r="BSC85" s="166"/>
      <c r="BSD85" s="166"/>
      <c r="BSE85" s="166"/>
      <c r="BSF85" s="166"/>
      <c r="BSG85" s="166"/>
      <c r="BSH85" s="166"/>
      <c r="BSI85" s="166"/>
      <c r="BSJ85" s="166"/>
      <c r="BSK85" s="166"/>
      <c r="BSL85" s="166"/>
      <c r="BSM85" s="166"/>
      <c r="BSN85" s="166"/>
      <c r="BSO85" s="166"/>
      <c r="BSP85" s="166"/>
      <c r="BSQ85" s="166"/>
      <c r="BSR85" s="166"/>
      <c r="BSS85" s="166"/>
    </row>
    <row r="86" spans="1:1865" ht="20.100000000000001" customHeight="1" x14ac:dyDescent="0.3">
      <c r="A86" s="100" t="s">
        <v>21</v>
      </c>
      <c r="B86" s="63"/>
      <c r="C86" s="218"/>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165"/>
      <c r="BHG86" s="166"/>
      <c r="BHH86" s="166"/>
      <c r="BHI86" s="166"/>
      <c r="BHJ86" s="166"/>
      <c r="BHK86" s="166"/>
      <c r="BHL86" s="166"/>
      <c r="BHM86" s="166"/>
      <c r="BHN86" s="166"/>
      <c r="BHO86" s="166"/>
      <c r="BHP86" s="166"/>
      <c r="BHQ86" s="166"/>
      <c r="BHR86" s="166"/>
      <c r="BHS86" s="166"/>
      <c r="BHT86" s="166"/>
      <c r="BHU86" s="166"/>
      <c r="BHV86" s="166"/>
      <c r="BHW86" s="166"/>
      <c r="BHX86" s="166"/>
      <c r="BHY86" s="166"/>
      <c r="BHZ86" s="166"/>
      <c r="BIA86" s="166"/>
      <c r="BIB86" s="166"/>
      <c r="BIC86" s="166"/>
      <c r="BID86" s="166"/>
      <c r="BIE86" s="166"/>
      <c r="BIF86" s="166"/>
      <c r="BIG86" s="166"/>
      <c r="BIH86" s="166"/>
      <c r="BII86" s="166"/>
      <c r="BIJ86" s="166"/>
      <c r="BIK86" s="166"/>
      <c r="BIL86" s="166"/>
      <c r="BIM86" s="166"/>
      <c r="BIN86" s="166"/>
      <c r="BIO86" s="166"/>
      <c r="BIP86" s="166"/>
      <c r="BIQ86" s="166"/>
      <c r="BIR86" s="166"/>
      <c r="BIS86" s="166"/>
      <c r="BIT86" s="166"/>
      <c r="BIU86" s="166"/>
      <c r="BIV86" s="166"/>
      <c r="BIW86" s="166"/>
      <c r="BIX86" s="166"/>
      <c r="BIY86" s="166"/>
      <c r="BIZ86" s="166"/>
      <c r="BJA86" s="166"/>
      <c r="BJB86" s="166"/>
      <c r="BJC86" s="166"/>
      <c r="BJD86" s="166"/>
      <c r="BJE86" s="166"/>
      <c r="BJF86" s="166"/>
      <c r="BJG86" s="166"/>
      <c r="BJH86" s="166"/>
      <c r="BJI86" s="166"/>
      <c r="BJJ86" s="166"/>
      <c r="BJK86" s="166"/>
      <c r="BJL86" s="166"/>
      <c r="BJM86" s="166"/>
      <c r="BJN86" s="166"/>
      <c r="BJO86" s="166"/>
      <c r="BJP86" s="166"/>
      <c r="BJQ86" s="166"/>
      <c r="BJR86" s="166"/>
      <c r="BJS86" s="166"/>
      <c r="BJT86" s="166"/>
      <c r="BJU86" s="166"/>
      <c r="BJV86" s="166"/>
      <c r="BJW86" s="166"/>
      <c r="BJX86" s="166"/>
      <c r="BJY86" s="166"/>
      <c r="BJZ86" s="166"/>
      <c r="BKA86" s="166"/>
      <c r="BKB86" s="166"/>
      <c r="BKC86" s="166"/>
      <c r="BKD86" s="166"/>
      <c r="BKE86" s="166"/>
      <c r="BKF86" s="166"/>
      <c r="BKG86" s="166"/>
      <c r="BKH86" s="166"/>
      <c r="BKI86" s="166"/>
      <c r="BKJ86" s="166"/>
      <c r="BKK86" s="166"/>
      <c r="BKL86" s="166"/>
      <c r="BKM86" s="166"/>
      <c r="BKN86" s="166"/>
      <c r="BKO86" s="166"/>
      <c r="BKP86" s="166"/>
      <c r="BKQ86" s="166"/>
      <c r="BKR86" s="166"/>
      <c r="BKS86" s="166"/>
      <c r="BKT86" s="166"/>
      <c r="BKU86" s="166"/>
      <c r="BKV86" s="166"/>
      <c r="BKW86" s="166"/>
      <c r="BKX86" s="166"/>
      <c r="BKY86" s="166"/>
      <c r="BKZ86" s="166"/>
      <c r="BLA86" s="166"/>
      <c r="BLB86" s="166"/>
      <c r="BLC86" s="166"/>
      <c r="BLD86" s="166"/>
      <c r="BLE86" s="166"/>
      <c r="BLF86" s="166"/>
      <c r="BLG86" s="166"/>
      <c r="BLH86" s="166"/>
      <c r="BLI86" s="166"/>
      <c r="BLJ86" s="166"/>
      <c r="BLK86" s="166"/>
      <c r="BLL86" s="166"/>
      <c r="BLM86" s="166"/>
      <c r="BLN86" s="166"/>
      <c r="BLO86" s="166"/>
      <c r="BLP86" s="166"/>
      <c r="BLQ86" s="166"/>
      <c r="BLR86" s="166"/>
      <c r="BLS86" s="166"/>
      <c r="BLT86" s="166"/>
      <c r="BLU86" s="166"/>
      <c r="BLV86" s="166"/>
      <c r="BLW86" s="166"/>
      <c r="BLX86" s="166"/>
      <c r="BLY86" s="166"/>
      <c r="BLZ86" s="166"/>
      <c r="BMA86" s="166"/>
      <c r="BMB86" s="166"/>
      <c r="BMC86" s="166"/>
      <c r="BMD86" s="166"/>
      <c r="BME86" s="166"/>
      <c r="BMF86" s="166"/>
      <c r="BMG86" s="166"/>
      <c r="BMH86" s="166"/>
      <c r="BMI86" s="166"/>
      <c r="BMJ86" s="166"/>
      <c r="BMK86" s="166"/>
      <c r="BML86" s="166"/>
      <c r="BMM86" s="166"/>
      <c r="BMN86" s="166"/>
      <c r="BMO86" s="166"/>
      <c r="BMP86" s="166"/>
      <c r="BMQ86" s="166"/>
      <c r="BMR86" s="166"/>
      <c r="BMS86" s="166"/>
      <c r="BMT86" s="166"/>
      <c r="BMU86" s="166"/>
      <c r="BMV86" s="166"/>
      <c r="BMW86" s="166"/>
      <c r="BMX86" s="166"/>
      <c r="BMY86" s="166"/>
      <c r="BMZ86" s="166"/>
      <c r="BNA86" s="166"/>
      <c r="BNB86" s="166"/>
      <c r="BNC86" s="166"/>
      <c r="BND86" s="166"/>
      <c r="BNE86" s="166"/>
      <c r="BNF86" s="166"/>
      <c r="BNG86" s="166"/>
      <c r="BNH86" s="166"/>
      <c r="BNI86" s="166"/>
      <c r="BNJ86" s="166"/>
      <c r="BNK86" s="166"/>
      <c r="BNL86" s="166"/>
      <c r="BNM86" s="166"/>
      <c r="BNN86" s="166"/>
      <c r="BNO86" s="166"/>
      <c r="BNP86" s="166"/>
      <c r="BNQ86" s="166"/>
      <c r="BNR86" s="166"/>
      <c r="BNS86" s="166"/>
      <c r="BNT86" s="166"/>
      <c r="BNU86" s="166"/>
      <c r="BNV86" s="166"/>
      <c r="BNW86" s="166"/>
      <c r="BNX86" s="166"/>
      <c r="BNY86" s="166"/>
      <c r="BNZ86" s="166"/>
      <c r="BOA86" s="166"/>
      <c r="BOB86" s="166"/>
      <c r="BOC86" s="166"/>
      <c r="BOD86" s="166"/>
      <c r="BOE86" s="166"/>
      <c r="BOF86" s="166"/>
      <c r="BOG86" s="166"/>
      <c r="BOH86" s="166"/>
      <c r="BOI86" s="166"/>
      <c r="BOJ86" s="166"/>
      <c r="BOK86" s="166"/>
      <c r="BOL86" s="166"/>
      <c r="BOM86" s="166"/>
      <c r="BON86" s="166"/>
      <c r="BOO86" s="166"/>
      <c r="BOP86" s="166"/>
      <c r="BOQ86" s="166"/>
      <c r="BOR86" s="166"/>
      <c r="BOS86" s="166"/>
      <c r="BOT86" s="166"/>
      <c r="BOU86" s="166"/>
      <c r="BOV86" s="166"/>
      <c r="BOW86" s="166"/>
      <c r="BOX86" s="166"/>
      <c r="BOY86" s="166"/>
      <c r="BOZ86" s="166"/>
      <c r="BPA86" s="166"/>
      <c r="BPB86" s="166"/>
      <c r="BPC86" s="166"/>
      <c r="BPD86" s="166"/>
      <c r="BPE86" s="166"/>
      <c r="BPF86" s="166"/>
      <c r="BPG86" s="166"/>
      <c r="BPH86" s="166"/>
      <c r="BPI86" s="166"/>
      <c r="BPJ86" s="166"/>
      <c r="BPK86" s="166"/>
      <c r="BPL86" s="166"/>
      <c r="BPM86" s="166"/>
      <c r="BPN86" s="166"/>
      <c r="BPO86" s="166"/>
      <c r="BPP86" s="166"/>
      <c r="BPQ86" s="166"/>
      <c r="BPR86" s="166"/>
      <c r="BPS86" s="166"/>
      <c r="BPT86" s="166"/>
      <c r="BPU86" s="166"/>
      <c r="BPV86" s="166"/>
      <c r="BPW86" s="166"/>
      <c r="BPX86" s="166"/>
      <c r="BPY86" s="166"/>
      <c r="BPZ86" s="166"/>
      <c r="BQA86" s="166"/>
      <c r="BQB86" s="166"/>
      <c r="BQC86" s="166"/>
      <c r="BQD86" s="166"/>
      <c r="BQE86" s="166"/>
      <c r="BQF86" s="166"/>
      <c r="BQG86" s="166"/>
      <c r="BQH86" s="166"/>
      <c r="BQI86" s="166"/>
      <c r="BQJ86" s="166"/>
      <c r="BQK86" s="166"/>
      <c r="BQL86" s="166"/>
      <c r="BQM86" s="166"/>
      <c r="BQN86" s="166"/>
      <c r="BQO86" s="166"/>
      <c r="BQP86" s="166"/>
      <c r="BQQ86" s="166"/>
      <c r="BQR86" s="166"/>
      <c r="BQS86" s="166"/>
      <c r="BQT86" s="166"/>
      <c r="BQU86" s="166"/>
      <c r="BQV86" s="166"/>
      <c r="BQW86" s="166"/>
      <c r="BQX86" s="166"/>
      <c r="BQY86" s="166"/>
      <c r="BQZ86" s="166"/>
      <c r="BRA86" s="166"/>
      <c r="BRB86" s="166"/>
      <c r="BRC86" s="166"/>
      <c r="BRD86" s="166"/>
      <c r="BRE86" s="166"/>
      <c r="BRF86" s="166"/>
      <c r="BRG86" s="166"/>
      <c r="BRH86" s="166"/>
      <c r="BRI86" s="166"/>
      <c r="BRJ86" s="166"/>
      <c r="BRK86" s="166"/>
      <c r="BRL86" s="166"/>
      <c r="BRM86" s="166"/>
      <c r="BRN86" s="166"/>
      <c r="BRO86" s="166"/>
      <c r="BRP86" s="166"/>
      <c r="BRQ86" s="166"/>
      <c r="BRR86" s="166"/>
      <c r="BRS86" s="166"/>
      <c r="BRT86" s="166"/>
      <c r="BRU86" s="166"/>
      <c r="BRV86" s="166"/>
      <c r="BRW86" s="166"/>
      <c r="BRX86" s="166"/>
      <c r="BRY86" s="166"/>
      <c r="BRZ86" s="166"/>
      <c r="BSA86" s="166"/>
      <c r="BSB86" s="166"/>
      <c r="BSC86" s="166"/>
      <c r="BSD86" s="166"/>
      <c r="BSE86" s="166"/>
      <c r="BSF86" s="166"/>
      <c r="BSG86" s="166"/>
      <c r="BSH86" s="166"/>
      <c r="BSI86" s="166"/>
      <c r="BSJ86" s="166"/>
      <c r="BSK86" s="166"/>
      <c r="BSL86" s="166"/>
      <c r="BSM86" s="166"/>
      <c r="BSN86" s="166"/>
      <c r="BSO86" s="166"/>
      <c r="BSP86" s="166"/>
      <c r="BSQ86" s="166"/>
      <c r="BSR86" s="166"/>
      <c r="BSS86" s="166"/>
    </row>
    <row r="87" spans="1:1865" ht="20.100000000000001" customHeight="1" x14ac:dyDescent="0.25">
      <c r="A87" s="100" t="s">
        <v>20</v>
      </c>
      <c r="B87" s="63"/>
      <c r="C87" s="207"/>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165"/>
      <c r="BHG87" s="166"/>
      <c r="BHH87" s="166"/>
      <c r="BHI87" s="166"/>
      <c r="BHJ87" s="166"/>
      <c r="BHK87" s="166"/>
      <c r="BHL87" s="166"/>
      <c r="BHM87" s="166"/>
      <c r="BHN87" s="166"/>
      <c r="BHO87" s="166"/>
      <c r="BHP87" s="166"/>
      <c r="BHQ87" s="166"/>
      <c r="BHR87" s="166"/>
      <c r="BHS87" s="166"/>
      <c r="BHT87" s="166"/>
      <c r="BHU87" s="166"/>
      <c r="BHV87" s="166"/>
      <c r="BHW87" s="166"/>
      <c r="BHX87" s="166"/>
      <c r="BHY87" s="166"/>
      <c r="BHZ87" s="166"/>
      <c r="BIA87" s="166"/>
      <c r="BIB87" s="166"/>
      <c r="BIC87" s="166"/>
      <c r="BID87" s="166"/>
      <c r="BIE87" s="166"/>
      <c r="BIF87" s="166"/>
      <c r="BIG87" s="166"/>
      <c r="BIH87" s="166"/>
      <c r="BII87" s="166"/>
      <c r="BIJ87" s="166"/>
      <c r="BIK87" s="166"/>
      <c r="BIL87" s="166"/>
      <c r="BIM87" s="166"/>
      <c r="BIN87" s="166"/>
      <c r="BIO87" s="166"/>
      <c r="BIP87" s="166"/>
      <c r="BIQ87" s="166"/>
      <c r="BIR87" s="166"/>
      <c r="BIS87" s="166"/>
      <c r="BIT87" s="166"/>
      <c r="BIU87" s="166"/>
      <c r="BIV87" s="166"/>
      <c r="BIW87" s="166"/>
      <c r="BIX87" s="166"/>
      <c r="BIY87" s="166"/>
      <c r="BIZ87" s="166"/>
      <c r="BJA87" s="166"/>
      <c r="BJB87" s="166"/>
      <c r="BJC87" s="166"/>
      <c r="BJD87" s="166"/>
      <c r="BJE87" s="166"/>
      <c r="BJF87" s="166"/>
      <c r="BJG87" s="166"/>
      <c r="BJH87" s="166"/>
      <c r="BJI87" s="166"/>
      <c r="BJJ87" s="166"/>
      <c r="BJK87" s="166"/>
      <c r="BJL87" s="166"/>
      <c r="BJM87" s="166"/>
      <c r="BJN87" s="166"/>
      <c r="BJO87" s="166"/>
      <c r="BJP87" s="166"/>
      <c r="BJQ87" s="166"/>
      <c r="BJR87" s="166"/>
      <c r="BJS87" s="166"/>
      <c r="BJT87" s="166"/>
      <c r="BJU87" s="166"/>
      <c r="BJV87" s="166"/>
      <c r="BJW87" s="166"/>
      <c r="BJX87" s="166"/>
      <c r="BJY87" s="166"/>
      <c r="BJZ87" s="166"/>
      <c r="BKA87" s="166"/>
      <c r="BKB87" s="166"/>
      <c r="BKC87" s="166"/>
      <c r="BKD87" s="166"/>
      <c r="BKE87" s="166"/>
      <c r="BKF87" s="166"/>
      <c r="BKG87" s="166"/>
      <c r="BKH87" s="166"/>
      <c r="BKI87" s="166"/>
      <c r="BKJ87" s="166"/>
      <c r="BKK87" s="166"/>
      <c r="BKL87" s="166"/>
      <c r="BKM87" s="166"/>
      <c r="BKN87" s="166"/>
      <c r="BKO87" s="166"/>
      <c r="BKP87" s="166"/>
      <c r="BKQ87" s="166"/>
      <c r="BKR87" s="166"/>
      <c r="BKS87" s="166"/>
      <c r="BKT87" s="166"/>
      <c r="BKU87" s="166"/>
      <c r="BKV87" s="166"/>
      <c r="BKW87" s="166"/>
      <c r="BKX87" s="166"/>
      <c r="BKY87" s="166"/>
      <c r="BKZ87" s="166"/>
      <c r="BLA87" s="166"/>
      <c r="BLB87" s="166"/>
      <c r="BLC87" s="166"/>
      <c r="BLD87" s="166"/>
      <c r="BLE87" s="166"/>
      <c r="BLF87" s="166"/>
      <c r="BLG87" s="166"/>
      <c r="BLH87" s="166"/>
      <c r="BLI87" s="166"/>
      <c r="BLJ87" s="166"/>
      <c r="BLK87" s="166"/>
      <c r="BLL87" s="166"/>
      <c r="BLM87" s="166"/>
      <c r="BLN87" s="166"/>
      <c r="BLO87" s="166"/>
      <c r="BLP87" s="166"/>
      <c r="BLQ87" s="166"/>
      <c r="BLR87" s="166"/>
      <c r="BLS87" s="166"/>
      <c r="BLT87" s="166"/>
      <c r="BLU87" s="166"/>
      <c r="BLV87" s="166"/>
      <c r="BLW87" s="166"/>
      <c r="BLX87" s="166"/>
      <c r="BLY87" s="166"/>
      <c r="BLZ87" s="166"/>
      <c r="BMA87" s="166"/>
      <c r="BMB87" s="166"/>
      <c r="BMC87" s="166"/>
      <c r="BMD87" s="166"/>
      <c r="BME87" s="166"/>
      <c r="BMF87" s="166"/>
      <c r="BMG87" s="166"/>
      <c r="BMH87" s="166"/>
      <c r="BMI87" s="166"/>
      <c r="BMJ87" s="166"/>
      <c r="BMK87" s="166"/>
      <c r="BML87" s="166"/>
      <c r="BMM87" s="166"/>
      <c r="BMN87" s="166"/>
      <c r="BMO87" s="166"/>
      <c r="BMP87" s="166"/>
      <c r="BMQ87" s="166"/>
      <c r="BMR87" s="166"/>
      <c r="BMS87" s="166"/>
      <c r="BMT87" s="166"/>
      <c r="BMU87" s="166"/>
      <c r="BMV87" s="166"/>
      <c r="BMW87" s="166"/>
      <c r="BMX87" s="166"/>
      <c r="BMY87" s="166"/>
      <c r="BMZ87" s="166"/>
      <c r="BNA87" s="166"/>
      <c r="BNB87" s="166"/>
      <c r="BNC87" s="166"/>
      <c r="BND87" s="166"/>
      <c r="BNE87" s="166"/>
      <c r="BNF87" s="166"/>
      <c r="BNG87" s="166"/>
      <c r="BNH87" s="166"/>
      <c r="BNI87" s="166"/>
      <c r="BNJ87" s="166"/>
      <c r="BNK87" s="166"/>
      <c r="BNL87" s="166"/>
      <c r="BNM87" s="166"/>
      <c r="BNN87" s="166"/>
      <c r="BNO87" s="166"/>
      <c r="BNP87" s="166"/>
      <c r="BNQ87" s="166"/>
      <c r="BNR87" s="166"/>
      <c r="BNS87" s="166"/>
      <c r="BNT87" s="166"/>
      <c r="BNU87" s="166"/>
      <c r="BNV87" s="166"/>
      <c r="BNW87" s="166"/>
      <c r="BNX87" s="166"/>
      <c r="BNY87" s="166"/>
      <c r="BNZ87" s="166"/>
      <c r="BOA87" s="166"/>
      <c r="BOB87" s="166"/>
      <c r="BOC87" s="166"/>
      <c r="BOD87" s="166"/>
      <c r="BOE87" s="166"/>
      <c r="BOF87" s="166"/>
      <c r="BOG87" s="166"/>
      <c r="BOH87" s="166"/>
      <c r="BOI87" s="166"/>
      <c r="BOJ87" s="166"/>
      <c r="BOK87" s="166"/>
      <c r="BOL87" s="166"/>
      <c r="BOM87" s="166"/>
      <c r="BON87" s="166"/>
      <c r="BOO87" s="166"/>
      <c r="BOP87" s="166"/>
      <c r="BOQ87" s="166"/>
      <c r="BOR87" s="166"/>
      <c r="BOS87" s="166"/>
      <c r="BOT87" s="166"/>
      <c r="BOU87" s="166"/>
      <c r="BOV87" s="166"/>
      <c r="BOW87" s="166"/>
      <c r="BOX87" s="166"/>
      <c r="BOY87" s="166"/>
      <c r="BOZ87" s="166"/>
      <c r="BPA87" s="166"/>
      <c r="BPB87" s="166"/>
      <c r="BPC87" s="166"/>
      <c r="BPD87" s="166"/>
      <c r="BPE87" s="166"/>
      <c r="BPF87" s="166"/>
      <c r="BPG87" s="166"/>
      <c r="BPH87" s="166"/>
      <c r="BPI87" s="166"/>
      <c r="BPJ87" s="166"/>
      <c r="BPK87" s="166"/>
      <c r="BPL87" s="166"/>
      <c r="BPM87" s="166"/>
      <c r="BPN87" s="166"/>
      <c r="BPO87" s="166"/>
      <c r="BPP87" s="166"/>
      <c r="BPQ87" s="166"/>
      <c r="BPR87" s="166"/>
      <c r="BPS87" s="166"/>
      <c r="BPT87" s="166"/>
      <c r="BPU87" s="166"/>
      <c r="BPV87" s="166"/>
      <c r="BPW87" s="166"/>
      <c r="BPX87" s="166"/>
      <c r="BPY87" s="166"/>
      <c r="BPZ87" s="166"/>
      <c r="BQA87" s="166"/>
      <c r="BQB87" s="166"/>
      <c r="BQC87" s="166"/>
      <c r="BQD87" s="166"/>
      <c r="BQE87" s="166"/>
      <c r="BQF87" s="166"/>
      <c r="BQG87" s="166"/>
      <c r="BQH87" s="166"/>
      <c r="BQI87" s="166"/>
      <c r="BQJ87" s="166"/>
      <c r="BQK87" s="166"/>
      <c r="BQL87" s="166"/>
      <c r="BQM87" s="166"/>
      <c r="BQN87" s="166"/>
      <c r="BQO87" s="166"/>
      <c r="BQP87" s="166"/>
      <c r="BQQ87" s="166"/>
      <c r="BQR87" s="166"/>
      <c r="BQS87" s="166"/>
      <c r="BQT87" s="166"/>
      <c r="BQU87" s="166"/>
      <c r="BQV87" s="166"/>
      <c r="BQW87" s="166"/>
      <c r="BQX87" s="166"/>
      <c r="BQY87" s="166"/>
      <c r="BQZ87" s="166"/>
      <c r="BRA87" s="166"/>
      <c r="BRB87" s="166"/>
      <c r="BRC87" s="166"/>
      <c r="BRD87" s="166"/>
      <c r="BRE87" s="166"/>
      <c r="BRF87" s="166"/>
      <c r="BRG87" s="166"/>
      <c r="BRH87" s="166"/>
      <c r="BRI87" s="166"/>
      <c r="BRJ87" s="166"/>
      <c r="BRK87" s="166"/>
      <c r="BRL87" s="166"/>
      <c r="BRM87" s="166"/>
      <c r="BRN87" s="166"/>
      <c r="BRO87" s="166"/>
      <c r="BRP87" s="166"/>
      <c r="BRQ87" s="166"/>
      <c r="BRR87" s="166"/>
      <c r="BRS87" s="166"/>
      <c r="BRT87" s="166"/>
      <c r="BRU87" s="166"/>
      <c r="BRV87" s="166"/>
      <c r="BRW87" s="166"/>
      <c r="BRX87" s="166"/>
      <c r="BRY87" s="166"/>
      <c r="BRZ87" s="166"/>
      <c r="BSA87" s="166"/>
      <c r="BSB87" s="166"/>
      <c r="BSC87" s="166"/>
      <c r="BSD87" s="166"/>
      <c r="BSE87" s="166"/>
      <c r="BSF87" s="166"/>
      <c r="BSG87" s="166"/>
      <c r="BSH87" s="166"/>
      <c r="BSI87" s="166"/>
      <c r="BSJ87" s="166"/>
      <c r="BSK87" s="166"/>
      <c r="BSL87" s="166"/>
      <c r="BSM87" s="166"/>
      <c r="BSN87" s="166"/>
      <c r="BSO87" s="166"/>
      <c r="BSP87" s="166"/>
      <c r="BSQ87" s="166"/>
      <c r="BSR87" s="166"/>
      <c r="BSS87" s="166"/>
    </row>
    <row r="88" spans="1:1865" ht="20.100000000000001" customHeight="1" x14ac:dyDescent="0.25">
      <c r="A88" s="100" t="s">
        <v>21</v>
      </c>
      <c r="B88" s="63"/>
      <c r="C88" s="208"/>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165"/>
      <c r="BHG88" s="166"/>
      <c r="BHH88" s="166"/>
      <c r="BHI88" s="166"/>
      <c r="BHJ88" s="166"/>
      <c r="BHK88" s="166"/>
      <c r="BHL88" s="166"/>
      <c r="BHM88" s="166"/>
      <c r="BHN88" s="166"/>
      <c r="BHO88" s="166"/>
      <c r="BHP88" s="166"/>
      <c r="BHQ88" s="166"/>
      <c r="BHR88" s="166"/>
      <c r="BHS88" s="166"/>
      <c r="BHT88" s="166"/>
      <c r="BHU88" s="166"/>
      <c r="BHV88" s="166"/>
      <c r="BHW88" s="166"/>
      <c r="BHX88" s="166"/>
      <c r="BHY88" s="166"/>
      <c r="BHZ88" s="166"/>
      <c r="BIA88" s="166"/>
      <c r="BIB88" s="166"/>
      <c r="BIC88" s="166"/>
      <c r="BID88" s="166"/>
      <c r="BIE88" s="166"/>
      <c r="BIF88" s="166"/>
      <c r="BIG88" s="166"/>
      <c r="BIH88" s="166"/>
      <c r="BII88" s="166"/>
      <c r="BIJ88" s="166"/>
      <c r="BIK88" s="166"/>
      <c r="BIL88" s="166"/>
      <c r="BIM88" s="166"/>
      <c r="BIN88" s="166"/>
      <c r="BIO88" s="166"/>
      <c r="BIP88" s="166"/>
      <c r="BIQ88" s="166"/>
      <c r="BIR88" s="166"/>
      <c r="BIS88" s="166"/>
      <c r="BIT88" s="166"/>
      <c r="BIU88" s="166"/>
      <c r="BIV88" s="166"/>
      <c r="BIW88" s="166"/>
      <c r="BIX88" s="166"/>
      <c r="BIY88" s="166"/>
      <c r="BIZ88" s="166"/>
      <c r="BJA88" s="166"/>
      <c r="BJB88" s="166"/>
      <c r="BJC88" s="166"/>
      <c r="BJD88" s="166"/>
      <c r="BJE88" s="166"/>
      <c r="BJF88" s="166"/>
      <c r="BJG88" s="166"/>
      <c r="BJH88" s="166"/>
      <c r="BJI88" s="166"/>
      <c r="BJJ88" s="166"/>
      <c r="BJK88" s="166"/>
      <c r="BJL88" s="166"/>
      <c r="BJM88" s="166"/>
      <c r="BJN88" s="166"/>
      <c r="BJO88" s="166"/>
      <c r="BJP88" s="166"/>
      <c r="BJQ88" s="166"/>
      <c r="BJR88" s="166"/>
      <c r="BJS88" s="166"/>
      <c r="BJT88" s="166"/>
      <c r="BJU88" s="166"/>
      <c r="BJV88" s="166"/>
      <c r="BJW88" s="166"/>
      <c r="BJX88" s="166"/>
      <c r="BJY88" s="166"/>
      <c r="BJZ88" s="166"/>
      <c r="BKA88" s="166"/>
      <c r="BKB88" s="166"/>
      <c r="BKC88" s="166"/>
      <c r="BKD88" s="166"/>
      <c r="BKE88" s="166"/>
      <c r="BKF88" s="166"/>
      <c r="BKG88" s="166"/>
      <c r="BKH88" s="166"/>
      <c r="BKI88" s="166"/>
      <c r="BKJ88" s="166"/>
      <c r="BKK88" s="166"/>
      <c r="BKL88" s="166"/>
      <c r="BKM88" s="166"/>
      <c r="BKN88" s="166"/>
      <c r="BKO88" s="166"/>
      <c r="BKP88" s="166"/>
      <c r="BKQ88" s="166"/>
      <c r="BKR88" s="166"/>
      <c r="BKS88" s="166"/>
      <c r="BKT88" s="166"/>
      <c r="BKU88" s="166"/>
      <c r="BKV88" s="166"/>
      <c r="BKW88" s="166"/>
      <c r="BKX88" s="166"/>
      <c r="BKY88" s="166"/>
      <c r="BKZ88" s="166"/>
      <c r="BLA88" s="166"/>
      <c r="BLB88" s="166"/>
      <c r="BLC88" s="166"/>
      <c r="BLD88" s="166"/>
      <c r="BLE88" s="166"/>
      <c r="BLF88" s="166"/>
      <c r="BLG88" s="166"/>
      <c r="BLH88" s="166"/>
      <c r="BLI88" s="166"/>
      <c r="BLJ88" s="166"/>
      <c r="BLK88" s="166"/>
      <c r="BLL88" s="166"/>
      <c r="BLM88" s="166"/>
      <c r="BLN88" s="166"/>
      <c r="BLO88" s="166"/>
      <c r="BLP88" s="166"/>
      <c r="BLQ88" s="166"/>
      <c r="BLR88" s="166"/>
      <c r="BLS88" s="166"/>
      <c r="BLT88" s="166"/>
      <c r="BLU88" s="166"/>
      <c r="BLV88" s="166"/>
      <c r="BLW88" s="166"/>
      <c r="BLX88" s="166"/>
      <c r="BLY88" s="166"/>
      <c r="BLZ88" s="166"/>
      <c r="BMA88" s="166"/>
      <c r="BMB88" s="166"/>
      <c r="BMC88" s="166"/>
      <c r="BMD88" s="166"/>
      <c r="BME88" s="166"/>
      <c r="BMF88" s="166"/>
      <c r="BMG88" s="166"/>
      <c r="BMH88" s="166"/>
      <c r="BMI88" s="166"/>
      <c r="BMJ88" s="166"/>
      <c r="BMK88" s="166"/>
      <c r="BML88" s="166"/>
      <c r="BMM88" s="166"/>
      <c r="BMN88" s="166"/>
      <c r="BMO88" s="166"/>
      <c r="BMP88" s="166"/>
      <c r="BMQ88" s="166"/>
      <c r="BMR88" s="166"/>
      <c r="BMS88" s="166"/>
      <c r="BMT88" s="166"/>
      <c r="BMU88" s="166"/>
      <c r="BMV88" s="166"/>
      <c r="BMW88" s="166"/>
      <c r="BMX88" s="166"/>
      <c r="BMY88" s="166"/>
      <c r="BMZ88" s="166"/>
      <c r="BNA88" s="166"/>
      <c r="BNB88" s="166"/>
      <c r="BNC88" s="166"/>
      <c r="BND88" s="166"/>
      <c r="BNE88" s="166"/>
      <c r="BNF88" s="166"/>
      <c r="BNG88" s="166"/>
      <c r="BNH88" s="166"/>
      <c r="BNI88" s="166"/>
      <c r="BNJ88" s="166"/>
      <c r="BNK88" s="166"/>
      <c r="BNL88" s="166"/>
      <c r="BNM88" s="166"/>
      <c r="BNN88" s="166"/>
      <c r="BNO88" s="166"/>
      <c r="BNP88" s="166"/>
      <c r="BNQ88" s="166"/>
      <c r="BNR88" s="166"/>
      <c r="BNS88" s="166"/>
      <c r="BNT88" s="166"/>
      <c r="BNU88" s="166"/>
      <c r="BNV88" s="166"/>
      <c r="BNW88" s="166"/>
      <c r="BNX88" s="166"/>
      <c r="BNY88" s="166"/>
      <c r="BNZ88" s="166"/>
      <c r="BOA88" s="166"/>
      <c r="BOB88" s="166"/>
      <c r="BOC88" s="166"/>
      <c r="BOD88" s="166"/>
      <c r="BOE88" s="166"/>
      <c r="BOF88" s="166"/>
      <c r="BOG88" s="166"/>
      <c r="BOH88" s="166"/>
      <c r="BOI88" s="166"/>
      <c r="BOJ88" s="166"/>
      <c r="BOK88" s="166"/>
      <c r="BOL88" s="166"/>
      <c r="BOM88" s="166"/>
      <c r="BON88" s="166"/>
      <c r="BOO88" s="166"/>
      <c r="BOP88" s="166"/>
      <c r="BOQ88" s="166"/>
      <c r="BOR88" s="166"/>
      <c r="BOS88" s="166"/>
      <c r="BOT88" s="166"/>
      <c r="BOU88" s="166"/>
      <c r="BOV88" s="166"/>
      <c r="BOW88" s="166"/>
      <c r="BOX88" s="166"/>
      <c r="BOY88" s="166"/>
      <c r="BOZ88" s="166"/>
      <c r="BPA88" s="166"/>
      <c r="BPB88" s="166"/>
      <c r="BPC88" s="166"/>
      <c r="BPD88" s="166"/>
      <c r="BPE88" s="166"/>
      <c r="BPF88" s="166"/>
      <c r="BPG88" s="166"/>
      <c r="BPH88" s="166"/>
      <c r="BPI88" s="166"/>
      <c r="BPJ88" s="166"/>
      <c r="BPK88" s="166"/>
      <c r="BPL88" s="166"/>
      <c r="BPM88" s="166"/>
      <c r="BPN88" s="166"/>
      <c r="BPO88" s="166"/>
      <c r="BPP88" s="166"/>
      <c r="BPQ88" s="166"/>
      <c r="BPR88" s="166"/>
      <c r="BPS88" s="166"/>
      <c r="BPT88" s="166"/>
      <c r="BPU88" s="166"/>
      <c r="BPV88" s="166"/>
      <c r="BPW88" s="166"/>
      <c r="BPX88" s="166"/>
      <c r="BPY88" s="166"/>
      <c r="BPZ88" s="166"/>
      <c r="BQA88" s="166"/>
      <c r="BQB88" s="166"/>
      <c r="BQC88" s="166"/>
      <c r="BQD88" s="166"/>
      <c r="BQE88" s="166"/>
      <c r="BQF88" s="166"/>
      <c r="BQG88" s="166"/>
      <c r="BQH88" s="166"/>
      <c r="BQI88" s="166"/>
      <c r="BQJ88" s="166"/>
      <c r="BQK88" s="166"/>
      <c r="BQL88" s="166"/>
      <c r="BQM88" s="166"/>
      <c r="BQN88" s="166"/>
      <c r="BQO88" s="166"/>
      <c r="BQP88" s="166"/>
      <c r="BQQ88" s="166"/>
      <c r="BQR88" s="166"/>
      <c r="BQS88" s="166"/>
      <c r="BQT88" s="166"/>
      <c r="BQU88" s="166"/>
      <c r="BQV88" s="166"/>
      <c r="BQW88" s="166"/>
      <c r="BQX88" s="166"/>
      <c r="BQY88" s="166"/>
      <c r="BQZ88" s="166"/>
      <c r="BRA88" s="166"/>
      <c r="BRB88" s="166"/>
      <c r="BRC88" s="166"/>
      <c r="BRD88" s="166"/>
      <c r="BRE88" s="166"/>
      <c r="BRF88" s="166"/>
      <c r="BRG88" s="166"/>
      <c r="BRH88" s="166"/>
      <c r="BRI88" s="166"/>
      <c r="BRJ88" s="166"/>
      <c r="BRK88" s="166"/>
      <c r="BRL88" s="166"/>
      <c r="BRM88" s="166"/>
      <c r="BRN88" s="166"/>
      <c r="BRO88" s="166"/>
      <c r="BRP88" s="166"/>
      <c r="BRQ88" s="166"/>
      <c r="BRR88" s="166"/>
      <c r="BRS88" s="166"/>
      <c r="BRT88" s="166"/>
      <c r="BRU88" s="166"/>
      <c r="BRV88" s="166"/>
      <c r="BRW88" s="166"/>
      <c r="BRX88" s="166"/>
      <c r="BRY88" s="166"/>
      <c r="BRZ88" s="166"/>
      <c r="BSA88" s="166"/>
      <c r="BSB88" s="166"/>
      <c r="BSC88" s="166"/>
      <c r="BSD88" s="166"/>
      <c r="BSE88" s="166"/>
      <c r="BSF88" s="166"/>
      <c r="BSG88" s="166"/>
      <c r="BSH88" s="166"/>
      <c r="BSI88" s="166"/>
      <c r="BSJ88" s="166"/>
      <c r="BSK88" s="166"/>
      <c r="BSL88" s="166"/>
      <c r="BSM88" s="166"/>
      <c r="BSN88" s="166"/>
      <c r="BSO88" s="166"/>
      <c r="BSP88" s="166"/>
      <c r="BSQ88" s="166"/>
      <c r="BSR88" s="166"/>
      <c r="BSS88" s="166"/>
    </row>
    <row r="89" spans="1:1865" ht="20.100000000000001" customHeight="1" x14ac:dyDescent="0.25">
      <c r="A89" s="100" t="s">
        <v>20</v>
      </c>
      <c r="B89" s="63"/>
      <c r="C89" s="207"/>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165"/>
      <c r="BHG89" s="166"/>
      <c r="BHH89" s="166"/>
      <c r="BHI89" s="166"/>
      <c r="BHJ89" s="166"/>
      <c r="BHK89" s="166"/>
      <c r="BHL89" s="166"/>
      <c r="BHM89" s="166"/>
      <c r="BHN89" s="166"/>
      <c r="BHO89" s="166"/>
      <c r="BHP89" s="166"/>
      <c r="BHQ89" s="166"/>
      <c r="BHR89" s="166"/>
      <c r="BHS89" s="166"/>
      <c r="BHT89" s="166"/>
      <c r="BHU89" s="166"/>
      <c r="BHV89" s="166"/>
      <c r="BHW89" s="166"/>
      <c r="BHX89" s="166"/>
      <c r="BHY89" s="166"/>
      <c r="BHZ89" s="166"/>
      <c r="BIA89" s="166"/>
      <c r="BIB89" s="166"/>
      <c r="BIC89" s="166"/>
      <c r="BID89" s="166"/>
      <c r="BIE89" s="166"/>
      <c r="BIF89" s="166"/>
      <c r="BIG89" s="166"/>
      <c r="BIH89" s="166"/>
      <c r="BII89" s="166"/>
      <c r="BIJ89" s="166"/>
      <c r="BIK89" s="166"/>
      <c r="BIL89" s="166"/>
      <c r="BIM89" s="166"/>
      <c r="BIN89" s="166"/>
      <c r="BIO89" s="166"/>
      <c r="BIP89" s="166"/>
      <c r="BIQ89" s="166"/>
      <c r="BIR89" s="166"/>
      <c r="BIS89" s="166"/>
      <c r="BIT89" s="166"/>
      <c r="BIU89" s="166"/>
      <c r="BIV89" s="166"/>
      <c r="BIW89" s="166"/>
      <c r="BIX89" s="166"/>
      <c r="BIY89" s="166"/>
      <c r="BIZ89" s="166"/>
      <c r="BJA89" s="166"/>
      <c r="BJB89" s="166"/>
      <c r="BJC89" s="166"/>
      <c r="BJD89" s="166"/>
      <c r="BJE89" s="166"/>
      <c r="BJF89" s="166"/>
      <c r="BJG89" s="166"/>
      <c r="BJH89" s="166"/>
      <c r="BJI89" s="166"/>
      <c r="BJJ89" s="166"/>
      <c r="BJK89" s="166"/>
      <c r="BJL89" s="166"/>
      <c r="BJM89" s="166"/>
      <c r="BJN89" s="166"/>
      <c r="BJO89" s="166"/>
      <c r="BJP89" s="166"/>
      <c r="BJQ89" s="166"/>
      <c r="BJR89" s="166"/>
      <c r="BJS89" s="166"/>
      <c r="BJT89" s="166"/>
      <c r="BJU89" s="166"/>
      <c r="BJV89" s="166"/>
      <c r="BJW89" s="166"/>
      <c r="BJX89" s="166"/>
      <c r="BJY89" s="166"/>
      <c r="BJZ89" s="166"/>
      <c r="BKA89" s="166"/>
      <c r="BKB89" s="166"/>
      <c r="BKC89" s="166"/>
      <c r="BKD89" s="166"/>
      <c r="BKE89" s="166"/>
      <c r="BKF89" s="166"/>
      <c r="BKG89" s="166"/>
      <c r="BKH89" s="166"/>
      <c r="BKI89" s="166"/>
      <c r="BKJ89" s="166"/>
      <c r="BKK89" s="166"/>
      <c r="BKL89" s="166"/>
      <c r="BKM89" s="166"/>
      <c r="BKN89" s="166"/>
      <c r="BKO89" s="166"/>
      <c r="BKP89" s="166"/>
      <c r="BKQ89" s="166"/>
      <c r="BKR89" s="166"/>
      <c r="BKS89" s="166"/>
      <c r="BKT89" s="166"/>
      <c r="BKU89" s="166"/>
      <c r="BKV89" s="166"/>
      <c r="BKW89" s="166"/>
      <c r="BKX89" s="166"/>
      <c r="BKY89" s="166"/>
      <c r="BKZ89" s="166"/>
      <c r="BLA89" s="166"/>
      <c r="BLB89" s="166"/>
      <c r="BLC89" s="166"/>
      <c r="BLD89" s="166"/>
      <c r="BLE89" s="166"/>
      <c r="BLF89" s="166"/>
      <c r="BLG89" s="166"/>
      <c r="BLH89" s="166"/>
      <c r="BLI89" s="166"/>
      <c r="BLJ89" s="166"/>
      <c r="BLK89" s="166"/>
      <c r="BLL89" s="166"/>
      <c r="BLM89" s="166"/>
      <c r="BLN89" s="166"/>
      <c r="BLO89" s="166"/>
      <c r="BLP89" s="166"/>
      <c r="BLQ89" s="166"/>
      <c r="BLR89" s="166"/>
      <c r="BLS89" s="166"/>
      <c r="BLT89" s="166"/>
      <c r="BLU89" s="166"/>
      <c r="BLV89" s="166"/>
      <c r="BLW89" s="166"/>
      <c r="BLX89" s="166"/>
      <c r="BLY89" s="166"/>
      <c r="BLZ89" s="166"/>
      <c r="BMA89" s="166"/>
      <c r="BMB89" s="166"/>
      <c r="BMC89" s="166"/>
      <c r="BMD89" s="166"/>
      <c r="BME89" s="166"/>
      <c r="BMF89" s="166"/>
      <c r="BMG89" s="166"/>
      <c r="BMH89" s="166"/>
      <c r="BMI89" s="166"/>
      <c r="BMJ89" s="166"/>
      <c r="BMK89" s="166"/>
      <c r="BML89" s="166"/>
      <c r="BMM89" s="166"/>
      <c r="BMN89" s="166"/>
      <c r="BMO89" s="166"/>
      <c r="BMP89" s="166"/>
      <c r="BMQ89" s="166"/>
      <c r="BMR89" s="166"/>
      <c r="BMS89" s="166"/>
      <c r="BMT89" s="166"/>
      <c r="BMU89" s="166"/>
      <c r="BMV89" s="166"/>
      <c r="BMW89" s="166"/>
      <c r="BMX89" s="166"/>
      <c r="BMY89" s="166"/>
      <c r="BMZ89" s="166"/>
      <c r="BNA89" s="166"/>
      <c r="BNB89" s="166"/>
      <c r="BNC89" s="166"/>
      <c r="BND89" s="166"/>
      <c r="BNE89" s="166"/>
      <c r="BNF89" s="166"/>
      <c r="BNG89" s="166"/>
      <c r="BNH89" s="166"/>
      <c r="BNI89" s="166"/>
      <c r="BNJ89" s="166"/>
      <c r="BNK89" s="166"/>
      <c r="BNL89" s="166"/>
      <c r="BNM89" s="166"/>
      <c r="BNN89" s="166"/>
      <c r="BNO89" s="166"/>
      <c r="BNP89" s="166"/>
      <c r="BNQ89" s="166"/>
      <c r="BNR89" s="166"/>
      <c r="BNS89" s="166"/>
      <c r="BNT89" s="166"/>
      <c r="BNU89" s="166"/>
      <c r="BNV89" s="166"/>
      <c r="BNW89" s="166"/>
      <c r="BNX89" s="166"/>
      <c r="BNY89" s="166"/>
      <c r="BNZ89" s="166"/>
      <c r="BOA89" s="166"/>
      <c r="BOB89" s="166"/>
      <c r="BOC89" s="166"/>
      <c r="BOD89" s="166"/>
      <c r="BOE89" s="166"/>
      <c r="BOF89" s="166"/>
      <c r="BOG89" s="166"/>
      <c r="BOH89" s="166"/>
      <c r="BOI89" s="166"/>
      <c r="BOJ89" s="166"/>
      <c r="BOK89" s="166"/>
      <c r="BOL89" s="166"/>
      <c r="BOM89" s="166"/>
      <c r="BON89" s="166"/>
      <c r="BOO89" s="166"/>
      <c r="BOP89" s="166"/>
      <c r="BOQ89" s="166"/>
      <c r="BOR89" s="166"/>
      <c r="BOS89" s="166"/>
      <c r="BOT89" s="166"/>
      <c r="BOU89" s="166"/>
      <c r="BOV89" s="166"/>
      <c r="BOW89" s="166"/>
      <c r="BOX89" s="166"/>
      <c r="BOY89" s="166"/>
      <c r="BOZ89" s="166"/>
      <c r="BPA89" s="166"/>
      <c r="BPB89" s="166"/>
      <c r="BPC89" s="166"/>
      <c r="BPD89" s="166"/>
      <c r="BPE89" s="166"/>
      <c r="BPF89" s="166"/>
      <c r="BPG89" s="166"/>
      <c r="BPH89" s="166"/>
      <c r="BPI89" s="166"/>
      <c r="BPJ89" s="166"/>
      <c r="BPK89" s="166"/>
      <c r="BPL89" s="166"/>
      <c r="BPM89" s="166"/>
      <c r="BPN89" s="166"/>
      <c r="BPO89" s="166"/>
      <c r="BPP89" s="166"/>
      <c r="BPQ89" s="166"/>
      <c r="BPR89" s="166"/>
      <c r="BPS89" s="166"/>
      <c r="BPT89" s="166"/>
      <c r="BPU89" s="166"/>
      <c r="BPV89" s="166"/>
      <c r="BPW89" s="166"/>
      <c r="BPX89" s="166"/>
      <c r="BPY89" s="166"/>
      <c r="BPZ89" s="166"/>
      <c r="BQA89" s="166"/>
      <c r="BQB89" s="166"/>
      <c r="BQC89" s="166"/>
      <c r="BQD89" s="166"/>
      <c r="BQE89" s="166"/>
      <c r="BQF89" s="166"/>
      <c r="BQG89" s="166"/>
      <c r="BQH89" s="166"/>
      <c r="BQI89" s="166"/>
      <c r="BQJ89" s="166"/>
      <c r="BQK89" s="166"/>
      <c r="BQL89" s="166"/>
      <c r="BQM89" s="166"/>
      <c r="BQN89" s="166"/>
      <c r="BQO89" s="166"/>
      <c r="BQP89" s="166"/>
      <c r="BQQ89" s="166"/>
      <c r="BQR89" s="166"/>
      <c r="BQS89" s="166"/>
      <c r="BQT89" s="166"/>
      <c r="BQU89" s="166"/>
      <c r="BQV89" s="166"/>
      <c r="BQW89" s="166"/>
      <c r="BQX89" s="166"/>
      <c r="BQY89" s="166"/>
      <c r="BQZ89" s="166"/>
      <c r="BRA89" s="166"/>
      <c r="BRB89" s="166"/>
      <c r="BRC89" s="166"/>
      <c r="BRD89" s="166"/>
      <c r="BRE89" s="166"/>
      <c r="BRF89" s="166"/>
      <c r="BRG89" s="166"/>
      <c r="BRH89" s="166"/>
      <c r="BRI89" s="166"/>
      <c r="BRJ89" s="166"/>
      <c r="BRK89" s="166"/>
      <c r="BRL89" s="166"/>
      <c r="BRM89" s="166"/>
      <c r="BRN89" s="166"/>
      <c r="BRO89" s="166"/>
      <c r="BRP89" s="166"/>
      <c r="BRQ89" s="166"/>
      <c r="BRR89" s="166"/>
      <c r="BRS89" s="166"/>
      <c r="BRT89" s="166"/>
      <c r="BRU89" s="166"/>
      <c r="BRV89" s="166"/>
      <c r="BRW89" s="166"/>
      <c r="BRX89" s="166"/>
      <c r="BRY89" s="166"/>
      <c r="BRZ89" s="166"/>
      <c r="BSA89" s="166"/>
      <c r="BSB89" s="166"/>
      <c r="BSC89" s="166"/>
      <c r="BSD89" s="166"/>
      <c r="BSE89" s="166"/>
      <c r="BSF89" s="166"/>
      <c r="BSG89" s="166"/>
      <c r="BSH89" s="166"/>
      <c r="BSI89" s="166"/>
      <c r="BSJ89" s="166"/>
      <c r="BSK89" s="166"/>
      <c r="BSL89" s="166"/>
      <c r="BSM89" s="166"/>
      <c r="BSN89" s="166"/>
      <c r="BSO89" s="166"/>
      <c r="BSP89" s="166"/>
      <c r="BSQ89" s="166"/>
      <c r="BSR89" s="166"/>
      <c r="BSS89" s="166"/>
    </row>
    <row r="90" spans="1:1865" ht="20.100000000000001" customHeight="1" x14ac:dyDescent="0.3">
      <c r="A90" s="100" t="s">
        <v>21</v>
      </c>
      <c r="B90" s="63"/>
      <c r="C90" s="218"/>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165"/>
      <c r="BHG90" s="166"/>
      <c r="BHH90" s="166"/>
      <c r="BHI90" s="166"/>
      <c r="BHJ90" s="166"/>
      <c r="BHK90" s="166"/>
      <c r="BHL90" s="166"/>
      <c r="BHM90" s="166"/>
      <c r="BHN90" s="166"/>
      <c r="BHO90" s="166"/>
      <c r="BHP90" s="166"/>
      <c r="BHQ90" s="166"/>
      <c r="BHR90" s="166"/>
      <c r="BHS90" s="166"/>
      <c r="BHT90" s="166"/>
      <c r="BHU90" s="166"/>
      <c r="BHV90" s="166"/>
      <c r="BHW90" s="166"/>
      <c r="BHX90" s="166"/>
      <c r="BHY90" s="166"/>
      <c r="BHZ90" s="166"/>
      <c r="BIA90" s="166"/>
      <c r="BIB90" s="166"/>
      <c r="BIC90" s="166"/>
      <c r="BID90" s="166"/>
      <c r="BIE90" s="166"/>
      <c r="BIF90" s="166"/>
      <c r="BIG90" s="166"/>
      <c r="BIH90" s="166"/>
      <c r="BII90" s="166"/>
      <c r="BIJ90" s="166"/>
      <c r="BIK90" s="166"/>
      <c r="BIL90" s="166"/>
      <c r="BIM90" s="166"/>
      <c r="BIN90" s="166"/>
      <c r="BIO90" s="166"/>
      <c r="BIP90" s="166"/>
      <c r="BIQ90" s="166"/>
      <c r="BIR90" s="166"/>
      <c r="BIS90" s="166"/>
      <c r="BIT90" s="166"/>
      <c r="BIU90" s="166"/>
      <c r="BIV90" s="166"/>
      <c r="BIW90" s="166"/>
      <c r="BIX90" s="166"/>
      <c r="BIY90" s="166"/>
      <c r="BIZ90" s="166"/>
      <c r="BJA90" s="166"/>
      <c r="BJB90" s="166"/>
      <c r="BJC90" s="166"/>
      <c r="BJD90" s="166"/>
      <c r="BJE90" s="166"/>
      <c r="BJF90" s="166"/>
      <c r="BJG90" s="166"/>
      <c r="BJH90" s="166"/>
      <c r="BJI90" s="166"/>
      <c r="BJJ90" s="166"/>
      <c r="BJK90" s="166"/>
      <c r="BJL90" s="166"/>
      <c r="BJM90" s="166"/>
      <c r="BJN90" s="166"/>
      <c r="BJO90" s="166"/>
      <c r="BJP90" s="166"/>
      <c r="BJQ90" s="166"/>
      <c r="BJR90" s="166"/>
      <c r="BJS90" s="166"/>
      <c r="BJT90" s="166"/>
      <c r="BJU90" s="166"/>
      <c r="BJV90" s="166"/>
      <c r="BJW90" s="166"/>
      <c r="BJX90" s="166"/>
      <c r="BJY90" s="166"/>
      <c r="BJZ90" s="166"/>
      <c r="BKA90" s="166"/>
      <c r="BKB90" s="166"/>
      <c r="BKC90" s="166"/>
      <c r="BKD90" s="166"/>
      <c r="BKE90" s="166"/>
      <c r="BKF90" s="166"/>
      <c r="BKG90" s="166"/>
      <c r="BKH90" s="166"/>
      <c r="BKI90" s="166"/>
      <c r="BKJ90" s="166"/>
      <c r="BKK90" s="166"/>
      <c r="BKL90" s="166"/>
      <c r="BKM90" s="166"/>
      <c r="BKN90" s="166"/>
      <c r="BKO90" s="166"/>
      <c r="BKP90" s="166"/>
      <c r="BKQ90" s="166"/>
      <c r="BKR90" s="166"/>
      <c r="BKS90" s="166"/>
      <c r="BKT90" s="166"/>
      <c r="BKU90" s="166"/>
      <c r="BKV90" s="166"/>
      <c r="BKW90" s="166"/>
      <c r="BKX90" s="166"/>
      <c r="BKY90" s="166"/>
      <c r="BKZ90" s="166"/>
      <c r="BLA90" s="166"/>
      <c r="BLB90" s="166"/>
      <c r="BLC90" s="166"/>
      <c r="BLD90" s="166"/>
      <c r="BLE90" s="166"/>
      <c r="BLF90" s="166"/>
      <c r="BLG90" s="166"/>
      <c r="BLH90" s="166"/>
      <c r="BLI90" s="166"/>
      <c r="BLJ90" s="166"/>
      <c r="BLK90" s="166"/>
      <c r="BLL90" s="166"/>
      <c r="BLM90" s="166"/>
      <c r="BLN90" s="166"/>
      <c r="BLO90" s="166"/>
      <c r="BLP90" s="166"/>
      <c r="BLQ90" s="166"/>
      <c r="BLR90" s="166"/>
      <c r="BLS90" s="166"/>
      <c r="BLT90" s="166"/>
      <c r="BLU90" s="166"/>
      <c r="BLV90" s="166"/>
      <c r="BLW90" s="166"/>
      <c r="BLX90" s="166"/>
      <c r="BLY90" s="166"/>
      <c r="BLZ90" s="166"/>
      <c r="BMA90" s="166"/>
      <c r="BMB90" s="166"/>
      <c r="BMC90" s="166"/>
      <c r="BMD90" s="166"/>
      <c r="BME90" s="166"/>
      <c r="BMF90" s="166"/>
      <c r="BMG90" s="166"/>
      <c r="BMH90" s="166"/>
      <c r="BMI90" s="166"/>
      <c r="BMJ90" s="166"/>
      <c r="BMK90" s="166"/>
      <c r="BML90" s="166"/>
      <c r="BMM90" s="166"/>
      <c r="BMN90" s="166"/>
      <c r="BMO90" s="166"/>
      <c r="BMP90" s="166"/>
      <c r="BMQ90" s="166"/>
      <c r="BMR90" s="166"/>
      <c r="BMS90" s="166"/>
      <c r="BMT90" s="166"/>
      <c r="BMU90" s="166"/>
      <c r="BMV90" s="166"/>
      <c r="BMW90" s="166"/>
      <c r="BMX90" s="166"/>
      <c r="BMY90" s="166"/>
      <c r="BMZ90" s="166"/>
      <c r="BNA90" s="166"/>
      <c r="BNB90" s="166"/>
      <c r="BNC90" s="166"/>
      <c r="BND90" s="166"/>
      <c r="BNE90" s="166"/>
      <c r="BNF90" s="166"/>
      <c r="BNG90" s="166"/>
      <c r="BNH90" s="166"/>
      <c r="BNI90" s="166"/>
      <c r="BNJ90" s="166"/>
      <c r="BNK90" s="166"/>
      <c r="BNL90" s="166"/>
      <c r="BNM90" s="166"/>
      <c r="BNN90" s="166"/>
      <c r="BNO90" s="166"/>
      <c r="BNP90" s="166"/>
      <c r="BNQ90" s="166"/>
      <c r="BNR90" s="166"/>
      <c r="BNS90" s="166"/>
      <c r="BNT90" s="166"/>
      <c r="BNU90" s="166"/>
      <c r="BNV90" s="166"/>
      <c r="BNW90" s="166"/>
      <c r="BNX90" s="166"/>
      <c r="BNY90" s="166"/>
      <c r="BNZ90" s="166"/>
      <c r="BOA90" s="166"/>
      <c r="BOB90" s="166"/>
      <c r="BOC90" s="166"/>
      <c r="BOD90" s="166"/>
      <c r="BOE90" s="166"/>
      <c r="BOF90" s="166"/>
      <c r="BOG90" s="166"/>
      <c r="BOH90" s="166"/>
      <c r="BOI90" s="166"/>
      <c r="BOJ90" s="166"/>
      <c r="BOK90" s="166"/>
      <c r="BOL90" s="166"/>
      <c r="BOM90" s="166"/>
      <c r="BON90" s="166"/>
      <c r="BOO90" s="166"/>
      <c r="BOP90" s="166"/>
      <c r="BOQ90" s="166"/>
      <c r="BOR90" s="166"/>
      <c r="BOS90" s="166"/>
      <c r="BOT90" s="166"/>
      <c r="BOU90" s="166"/>
      <c r="BOV90" s="166"/>
      <c r="BOW90" s="166"/>
      <c r="BOX90" s="166"/>
      <c r="BOY90" s="166"/>
      <c r="BOZ90" s="166"/>
      <c r="BPA90" s="166"/>
      <c r="BPB90" s="166"/>
      <c r="BPC90" s="166"/>
      <c r="BPD90" s="166"/>
      <c r="BPE90" s="166"/>
      <c r="BPF90" s="166"/>
      <c r="BPG90" s="166"/>
      <c r="BPH90" s="166"/>
      <c r="BPI90" s="166"/>
      <c r="BPJ90" s="166"/>
      <c r="BPK90" s="166"/>
      <c r="BPL90" s="166"/>
      <c r="BPM90" s="166"/>
      <c r="BPN90" s="166"/>
      <c r="BPO90" s="166"/>
      <c r="BPP90" s="166"/>
      <c r="BPQ90" s="166"/>
      <c r="BPR90" s="166"/>
      <c r="BPS90" s="166"/>
      <c r="BPT90" s="166"/>
      <c r="BPU90" s="166"/>
      <c r="BPV90" s="166"/>
      <c r="BPW90" s="166"/>
      <c r="BPX90" s="166"/>
      <c r="BPY90" s="166"/>
      <c r="BPZ90" s="166"/>
      <c r="BQA90" s="166"/>
      <c r="BQB90" s="166"/>
      <c r="BQC90" s="166"/>
      <c r="BQD90" s="166"/>
      <c r="BQE90" s="166"/>
      <c r="BQF90" s="166"/>
      <c r="BQG90" s="166"/>
      <c r="BQH90" s="166"/>
      <c r="BQI90" s="166"/>
      <c r="BQJ90" s="166"/>
      <c r="BQK90" s="166"/>
      <c r="BQL90" s="166"/>
      <c r="BQM90" s="166"/>
      <c r="BQN90" s="166"/>
      <c r="BQO90" s="166"/>
      <c r="BQP90" s="166"/>
      <c r="BQQ90" s="166"/>
      <c r="BQR90" s="166"/>
      <c r="BQS90" s="166"/>
      <c r="BQT90" s="166"/>
      <c r="BQU90" s="166"/>
      <c r="BQV90" s="166"/>
      <c r="BQW90" s="166"/>
      <c r="BQX90" s="166"/>
      <c r="BQY90" s="166"/>
      <c r="BQZ90" s="166"/>
      <c r="BRA90" s="166"/>
      <c r="BRB90" s="166"/>
      <c r="BRC90" s="166"/>
      <c r="BRD90" s="166"/>
      <c r="BRE90" s="166"/>
      <c r="BRF90" s="166"/>
      <c r="BRG90" s="166"/>
      <c r="BRH90" s="166"/>
      <c r="BRI90" s="166"/>
      <c r="BRJ90" s="166"/>
      <c r="BRK90" s="166"/>
      <c r="BRL90" s="166"/>
      <c r="BRM90" s="166"/>
      <c r="BRN90" s="166"/>
      <c r="BRO90" s="166"/>
      <c r="BRP90" s="166"/>
      <c r="BRQ90" s="166"/>
      <c r="BRR90" s="166"/>
      <c r="BRS90" s="166"/>
      <c r="BRT90" s="166"/>
      <c r="BRU90" s="166"/>
      <c r="BRV90" s="166"/>
      <c r="BRW90" s="166"/>
      <c r="BRX90" s="166"/>
      <c r="BRY90" s="166"/>
      <c r="BRZ90" s="166"/>
      <c r="BSA90" s="166"/>
      <c r="BSB90" s="166"/>
      <c r="BSC90" s="166"/>
      <c r="BSD90" s="166"/>
      <c r="BSE90" s="166"/>
      <c r="BSF90" s="166"/>
      <c r="BSG90" s="166"/>
      <c r="BSH90" s="166"/>
      <c r="BSI90" s="166"/>
      <c r="BSJ90" s="166"/>
      <c r="BSK90" s="166"/>
      <c r="BSL90" s="166"/>
      <c r="BSM90" s="166"/>
      <c r="BSN90" s="166"/>
      <c r="BSO90" s="166"/>
      <c r="BSP90" s="166"/>
      <c r="BSQ90" s="166"/>
      <c r="BSR90" s="166"/>
      <c r="BSS90" s="166"/>
    </row>
    <row r="91" spans="1:1865" ht="20.100000000000001" customHeight="1" x14ac:dyDescent="0.25">
      <c r="A91" s="100" t="s">
        <v>20</v>
      </c>
      <c r="B91" s="63"/>
      <c r="C91" s="207"/>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165"/>
      <c r="BHG91" s="166"/>
      <c r="BHH91" s="166"/>
      <c r="BHI91" s="166"/>
      <c r="BHJ91" s="166"/>
      <c r="BHK91" s="166"/>
      <c r="BHL91" s="166"/>
      <c r="BHM91" s="166"/>
      <c r="BHN91" s="166"/>
      <c r="BHO91" s="166"/>
      <c r="BHP91" s="166"/>
      <c r="BHQ91" s="166"/>
      <c r="BHR91" s="166"/>
      <c r="BHS91" s="166"/>
      <c r="BHT91" s="166"/>
      <c r="BHU91" s="166"/>
      <c r="BHV91" s="166"/>
      <c r="BHW91" s="166"/>
      <c r="BHX91" s="166"/>
      <c r="BHY91" s="166"/>
      <c r="BHZ91" s="166"/>
      <c r="BIA91" s="166"/>
      <c r="BIB91" s="166"/>
      <c r="BIC91" s="166"/>
      <c r="BID91" s="166"/>
      <c r="BIE91" s="166"/>
      <c r="BIF91" s="166"/>
      <c r="BIG91" s="166"/>
      <c r="BIH91" s="166"/>
      <c r="BII91" s="166"/>
      <c r="BIJ91" s="166"/>
      <c r="BIK91" s="166"/>
      <c r="BIL91" s="166"/>
      <c r="BIM91" s="166"/>
      <c r="BIN91" s="166"/>
      <c r="BIO91" s="166"/>
      <c r="BIP91" s="166"/>
      <c r="BIQ91" s="166"/>
      <c r="BIR91" s="166"/>
      <c r="BIS91" s="166"/>
      <c r="BIT91" s="166"/>
      <c r="BIU91" s="166"/>
      <c r="BIV91" s="166"/>
      <c r="BIW91" s="166"/>
      <c r="BIX91" s="166"/>
      <c r="BIY91" s="166"/>
      <c r="BIZ91" s="166"/>
      <c r="BJA91" s="166"/>
      <c r="BJB91" s="166"/>
      <c r="BJC91" s="166"/>
      <c r="BJD91" s="166"/>
      <c r="BJE91" s="166"/>
      <c r="BJF91" s="166"/>
      <c r="BJG91" s="166"/>
      <c r="BJH91" s="166"/>
      <c r="BJI91" s="166"/>
      <c r="BJJ91" s="166"/>
      <c r="BJK91" s="166"/>
      <c r="BJL91" s="166"/>
      <c r="BJM91" s="166"/>
      <c r="BJN91" s="166"/>
      <c r="BJO91" s="166"/>
      <c r="BJP91" s="166"/>
      <c r="BJQ91" s="166"/>
      <c r="BJR91" s="166"/>
      <c r="BJS91" s="166"/>
      <c r="BJT91" s="166"/>
      <c r="BJU91" s="166"/>
      <c r="BJV91" s="166"/>
      <c r="BJW91" s="166"/>
      <c r="BJX91" s="166"/>
      <c r="BJY91" s="166"/>
      <c r="BJZ91" s="166"/>
      <c r="BKA91" s="166"/>
      <c r="BKB91" s="166"/>
      <c r="BKC91" s="166"/>
      <c r="BKD91" s="166"/>
      <c r="BKE91" s="166"/>
      <c r="BKF91" s="166"/>
      <c r="BKG91" s="166"/>
      <c r="BKH91" s="166"/>
      <c r="BKI91" s="166"/>
      <c r="BKJ91" s="166"/>
      <c r="BKK91" s="166"/>
      <c r="BKL91" s="166"/>
      <c r="BKM91" s="166"/>
      <c r="BKN91" s="166"/>
      <c r="BKO91" s="166"/>
      <c r="BKP91" s="166"/>
      <c r="BKQ91" s="166"/>
      <c r="BKR91" s="166"/>
      <c r="BKS91" s="166"/>
      <c r="BKT91" s="166"/>
      <c r="BKU91" s="166"/>
      <c r="BKV91" s="166"/>
      <c r="BKW91" s="166"/>
      <c r="BKX91" s="166"/>
      <c r="BKY91" s="166"/>
      <c r="BKZ91" s="166"/>
      <c r="BLA91" s="166"/>
      <c r="BLB91" s="166"/>
      <c r="BLC91" s="166"/>
      <c r="BLD91" s="166"/>
      <c r="BLE91" s="166"/>
      <c r="BLF91" s="166"/>
      <c r="BLG91" s="166"/>
      <c r="BLH91" s="166"/>
      <c r="BLI91" s="166"/>
      <c r="BLJ91" s="166"/>
      <c r="BLK91" s="166"/>
      <c r="BLL91" s="166"/>
      <c r="BLM91" s="166"/>
      <c r="BLN91" s="166"/>
      <c r="BLO91" s="166"/>
      <c r="BLP91" s="166"/>
      <c r="BLQ91" s="166"/>
      <c r="BLR91" s="166"/>
      <c r="BLS91" s="166"/>
      <c r="BLT91" s="166"/>
      <c r="BLU91" s="166"/>
      <c r="BLV91" s="166"/>
      <c r="BLW91" s="166"/>
      <c r="BLX91" s="166"/>
      <c r="BLY91" s="166"/>
      <c r="BLZ91" s="166"/>
      <c r="BMA91" s="166"/>
      <c r="BMB91" s="166"/>
      <c r="BMC91" s="166"/>
      <c r="BMD91" s="166"/>
      <c r="BME91" s="166"/>
      <c r="BMF91" s="166"/>
      <c r="BMG91" s="166"/>
      <c r="BMH91" s="166"/>
      <c r="BMI91" s="166"/>
      <c r="BMJ91" s="166"/>
      <c r="BMK91" s="166"/>
      <c r="BML91" s="166"/>
      <c r="BMM91" s="166"/>
      <c r="BMN91" s="166"/>
      <c r="BMO91" s="166"/>
      <c r="BMP91" s="166"/>
      <c r="BMQ91" s="166"/>
      <c r="BMR91" s="166"/>
      <c r="BMS91" s="166"/>
      <c r="BMT91" s="166"/>
      <c r="BMU91" s="166"/>
      <c r="BMV91" s="166"/>
      <c r="BMW91" s="166"/>
      <c r="BMX91" s="166"/>
      <c r="BMY91" s="166"/>
      <c r="BMZ91" s="166"/>
      <c r="BNA91" s="166"/>
      <c r="BNB91" s="166"/>
      <c r="BNC91" s="166"/>
      <c r="BND91" s="166"/>
      <c r="BNE91" s="166"/>
      <c r="BNF91" s="166"/>
      <c r="BNG91" s="166"/>
      <c r="BNH91" s="166"/>
      <c r="BNI91" s="166"/>
      <c r="BNJ91" s="166"/>
      <c r="BNK91" s="166"/>
      <c r="BNL91" s="166"/>
      <c r="BNM91" s="166"/>
      <c r="BNN91" s="166"/>
      <c r="BNO91" s="166"/>
      <c r="BNP91" s="166"/>
      <c r="BNQ91" s="166"/>
      <c r="BNR91" s="166"/>
      <c r="BNS91" s="166"/>
      <c r="BNT91" s="166"/>
      <c r="BNU91" s="166"/>
      <c r="BNV91" s="166"/>
      <c r="BNW91" s="166"/>
      <c r="BNX91" s="166"/>
      <c r="BNY91" s="166"/>
      <c r="BNZ91" s="166"/>
      <c r="BOA91" s="166"/>
      <c r="BOB91" s="166"/>
      <c r="BOC91" s="166"/>
      <c r="BOD91" s="166"/>
      <c r="BOE91" s="166"/>
      <c r="BOF91" s="166"/>
      <c r="BOG91" s="166"/>
      <c r="BOH91" s="166"/>
      <c r="BOI91" s="166"/>
      <c r="BOJ91" s="166"/>
      <c r="BOK91" s="166"/>
      <c r="BOL91" s="166"/>
      <c r="BOM91" s="166"/>
      <c r="BON91" s="166"/>
      <c r="BOO91" s="166"/>
      <c r="BOP91" s="166"/>
      <c r="BOQ91" s="166"/>
      <c r="BOR91" s="166"/>
      <c r="BOS91" s="166"/>
      <c r="BOT91" s="166"/>
      <c r="BOU91" s="166"/>
      <c r="BOV91" s="166"/>
      <c r="BOW91" s="166"/>
      <c r="BOX91" s="166"/>
      <c r="BOY91" s="166"/>
      <c r="BOZ91" s="166"/>
      <c r="BPA91" s="166"/>
      <c r="BPB91" s="166"/>
      <c r="BPC91" s="166"/>
      <c r="BPD91" s="166"/>
      <c r="BPE91" s="166"/>
      <c r="BPF91" s="166"/>
      <c r="BPG91" s="166"/>
      <c r="BPH91" s="166"/>
      <c r="BPI91" s="166"/>
      <c r="BPJ91" s="166"/>
      <c r="BPK91" s="166"/>
      <c r="BPL91" s="166"/>
      <c r="BPM91" s="166"/>
      <c r="BPN91" s="166"/>
      <c r="BPO91" s="166"/>
      <c r="BPP91" s="166"/>
      <c r="BPQ91" s="166"/>
      <c r="BPR91" s="166"/>
      <c r="BPS91" s="166"/>
      <c r="BPT91" s="166"/>
      <c r="BPU91" s="166"/>
      <c r="BPV91" s="166"/>
      <c r="BPW91" s="166"/>
      <c r="BPX91" s="166"/>
      <c r="BPY91" s="166"/>
      <c r="BPZ91" s="166"/>
      <c r="BQA91" s="166"/>
      <c r="BQB91" s="166"/>
      <c r="BQC91" s="166"/>
      <c r="BQD91" s="166"/>
      <c r="BQE91" s="166"/>
      <c r="BQF91" s="166"/>
      <c r="BQG91" s="166"/>
      <c r="BQH91" s="166"/>
      <c r="BQI91" s="166"/>
      <c r="BQJ91" s="166"/>
      <c r="BQK91" s="166"/>
      <c r="BQL91" s="166"/>
      <c r="BQM91" s="166"/>
      <c r="BQN91" s="166"/>
      <c r="BQO91" s="166"/>
      <c r="BQP91" s="166"/>
      <c r="BQQ91" s="166"/>
      <c r="BQR91" s="166"/>
      <c r="BQS91" s="166"/>
      <c r="BQT91" s="166"/>
      <c r="BQU91" s="166"/>
      <c r="BQV91" s="166"/>
      <c r="BQW91" s="166"/>
      <c r="BQX91" s="166"/>
      <c r="BQY91" s="166"/>
      <c r="BQZ91" s="166"/>
      <c r="BRA91" s="166"/>
      <c r="BRB91" s="166"/>
      <c r="BRC91" s="166"/>
      <c r="BRD91" s="166"/>
      <c r="BRE91" s="166"/>
      <c r="BRF91" s="166"/>
      <c r="BRG91" s="166"/>
      <c r="BRH91" s="166"/>
      <c r="BRI91" s="166"/>
      <c r="BRJ91" s="166"/>
      <c r="BRK91" s="166"/>
      <c r="BRL91" s="166"/>
      <c r="BRM91" s="166"/>
      <c r="BRN91" s="166"/>
      <c r="BRO91" s="166"/>
      <c r="BRP91" s="166"/>
      <c r="BRQ91" s="166"/>
      <c r="BRR91" s="166"/>
      <c r="BRS91" s="166"/>
      <c r="BRT91" s="166"/>
      <c r="BRU91" s="166"/>
      <c r="BRV91" s="166"/>
      <c r="BRW91" s="166"/>
      <c r="BRX91" s="166"/>
      <c r="BRY91" s="166"/>
      <c r="BRZ91" s="166"/>
      <c r="BSA91" s="166"/>
      <c r="BSB91" s="166"/>
      <c r="BSC91" s="166"/>
      <c r="BSD91" s="166"/>
      <c r="BSE91" s="166"/>
      <c r="BSF91" s="166"/>
      <c r="BSG91" s="166"/>
      <c r="BSH91" s="166"/>
      <c r="BSI91" s="166"/>
      <c r="BSJ91" s="166"/>
      <c r="BSK91" s="166"/>
      <c r="BSL91" s="166"/>
      <c r="BSM91" s="166"/>
      <c r="BSN91" s="166"/>
      <c r="BSO91" s="166"/>
      <c r="BSP91" s="166"/>
      <c r="BSQ91" s="166"/>
      <c r="BSR91" s="166"/>
      <c r="BSS91" s="166"/>
    </row>
    <row r="92" spans="1:1865" ht="20.100000000000001" customHeight="1" x14ac:dyDescent="0.3">
      <c r="A92" s="100" t="s">
        <v>21</v>
      </c>
      <c r="B92" s="63"/>
      <c r="C92" s="218"/>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165"/>
      <c r="BHG92" s="166"/>
      <c r="BHH92" s="166"/>
      <c r="BHI92" s="166"/>
      <c r="BHJ92" s="166"/>
      <c r="BHK92" s="166"/>
      <c r="BHL92" s="166"/>
      <c r="BHM92" s="166"/>
      <c r="BHN92" s="166"/>
      <c r="BHO92" s="166"/>
      <c r="BHP92" s="166"/>
      <c r="BHQ92" s="166"/>
      <c r="BHR92" s="166"/>
      <c r="BHS92" s="166"/>
      <c r="BHT92" s="166"/>
      <c r="BHU92" s="166"/>
      <c r="BHV92" s="166"/>
      <c r="BHW92" s="166"/>
      <c r="BHX92" s="166"/>
      <c r="BHY92" s="166"/>
      <c r="BHZ92" s="166"/>
      <c r="BIA92" s="166"/>
      <c r="BIB92" s="166"/>
      <c r="BIC92" s="166"/>
      <c r="BID92" s="166"/>
      <c r="BIE92" s="166"/>
      <c r="BIF92" s="166"/>
      <c r="BIG92" s="166"/>
      <c r="BIH92" s="166"/>
      <c r="BII92" s="166"/>
      <c r="BIJ92" s="166"/>
      <c r="BIK92" s="166"/>
      <c r="BIL92" s="166"/>
      <c r="BIM92" s="166"/>
      <c r="BIN92" s="166"/>
      <c r="BIO92" s="166"/>
      <c r="BIP92" s="166"/>
      <c r="BIQ92" s="166"/>
      <c r="BIR92" s="166"/>
      <c r="BIS92" s="166"/>
      <c r="BIT92" s="166"/>
      <c r="BIU92" s="166"/>
      <c r="BIV92" s="166"/>
      <c r="BIW92" s="166"/>
      <c r="BIX92" s="166"/>
      <c r="BIY92" s="166"/>
      <c r="BIZ92" s="166"/>
      <c r="BJA92" s="166"/>
      <c r="BJB92" s="166"/>
      <c r="BJC92" s="166"/>
      <c r="BJD92" s="166"/>
      <c r="BJE92" s="166"/>
      <c r="BJF92" s="166"/>
      <c r="BJG92" s="166"/>
      <c r="BJH92" s="166"/>
      <c r="BJI92" s="166"/>
      <c r="BJJ92" s="166"/>
      <c r="BJK92" s="166"/>
      <c r="BJL92" s="166"/>
      <c r="BJM92" s="166"/>
      <c r="BJN92" s="166"/>
      <c r="BJO92" s="166"/>
      <c r="BJP92" s="166"/>
      <c r="BJQ92" s="166"/>
      <c r="BJR92" s="166"/>
      <c r="BJS92" s="166"/>
      <c r="BJT92" s="166"/>
      <c r="BJU92" s="166"/>
      <c r="BJV92" s="166"/>
      <c r="BJW92" s="166"/>
      <c r="BJX92" s="166"/>
      <c r="BJY92" s="166"/>
      <c r="BJZ92" s="166"/>
      <c r="BKA92" s="166"/>
      <c r="BKB92" s="166"/>
      <c r="BKC92" s="166"/>
      <c r="BKD92" s="166"/>
      <c r="BKE92" s="166"/>
      <c r="BKF92" s="166"/>
      <c r="BKG92" s="166"/>
      <c r="BKH92" s="166"/>
      <c r="BKI92" s="166"/>
      <c r="BKJ92" s="166"/>
      <c r="BKK92" s="166"/>
      <c r="BKL92" s="166"/>
      <c r="BKM92" s="166"/>
      <c r="BKN92" s="166"/>
      <c r="BKO92" s="166"/>
      <c r="BKP92" s="166"/>
      <c r="BKQ92" s="166"/>
      <c r="BKR92" s="166"/>
      <c r="BKS92" s="166"/>
      <c r="BKT92" s="166"/>
      <c r="BKU92" s="166"/>
      <c r="BKV92" s="166"/>
      <c r="BKW92" s="166"/>
      <c r="BKX92" s="166"/>
      <c r="BKY92" s="166"/>
      <c r="BKZ92" s="166"/>
      <c r="BLA92" s="166"/>
      <c r="BLB92" s="166"/>
      <c r="BLC92" s="166"/>
      <c r="BLD92" s="166"/>
      <c r="BLE92" s="166"/>
      <c r="BLF92" s="166"/>
      <c r="BLG92" s="166"/>
      <c r="BLH92" s="166"/>
      <c r="BLI92" s="166"/>
      <c r="BLJ92" s="166"/>
      <c r="BLK92" s="166"/>
      <c r="BLL92" s="166"/>
      <c r="BLM92" s="166"/>
      <c r="BLN92" s="166"/>
      <c r="BLO92" s="166"/>
      <c r="BLP92" s="166"/>
      <c r="BLQ92" s="166"/>
      <c r="BLR92" s="166"/>
      <c r="BLS92" s="166"/>
      <c r="BLT92" s="166"/>
      <c r="BLU92" s="166"/>
      <c r="BLV92" s="166"/>
      <c r="BLW92" s="166"/>
      <c r="BLX92" s="166"/>
      <c r="BLY92" s="166"/>
      <c r="BLZ92" s="166"/>
      <c r="BMA92" s="166"/>
      <c r="BMB92" s="166"/>
      <c r="BMC92" s="166"/>
      <c r="BMD92" s="166"/>
      <c r="BME92" s="166"/>
      <c r="BMF92" s="166"/>
      <c r="BMG92" s="166"/>
      <c r="BMH92" s="166"/>
      <c r="BMI92" s="166"/>
      <c r="BMJ92" s="166"/>
      <c r="BMK92" s="166"/>
      <c r="BML92" s="166"/>
      <c r="BMM92" s="166"/>
      <c r="BMN92" s="166"/>
      <c r="BMO92" s="166"/>
      <c r="BMP92" s="166"/>
      <c r="BMQ92" s="166"/>
      <c r="BMR92" s="166"/>
      <c r="BMS92" s="166"/>
      <c r="BMT92" s="166"/>
      <c r="BMU92" s="166"/>
      <c r="BMV92" s="166"/>
      <c r="BMW92" s="166"/>
      <c r="BMX92" s="166"/>
      <c r="BMY92" s="166"/>
      <c r="BMZ92" s="166"/>
      <c r="BNA92" s="166"/>
      <c r="BNB92" s="166"/>
      <c r="BNC92" s="166"/>
      <c r="BND92" s="166"/>
      <c r="BNE92" s="166"/>
      <c r="BNF92" s="166"/>
      <c r="BNG92" s="166"/>
      <c r="BNH92" s="166"/>
      <c r="BNI92" s="166"/>
      <c r="BNJ92" s="166"/>
      <c r="BNK92" s="166"/>
      <c r="BNL92" s="166"/>
      <c r="BNM92" s="166"/>
      <c r="BNN92" s="166"/>
      <c r="BNO92" s="166"/>
      <c r="BNP92" s="166"/>
      <c r="BNQ92" s="166"/>
      <c r="BNR92" s="166"/>
      <c r="BNS92" s="166"/>
      <c r="BNT92" s="166"/>
      <c r="BNU92" s="166"/>
      <c r="BNV92" s="166"/>
      <c r="BNW92" s="166"/>
      <c r="BNX92" s="166"/>
      <c r="BNY92" s="166"/>
      <c r="BNZ92" s="166"/>
      <c r="BOA92" s="166"/>
      <c r="BOB92" s="166"/>
      <c r="BOC92" s="166"/>
      <c r="BOD92" s="166"/>
      <c r="BOE92" s="166"/>
      <c r="BOF92" s="166"/>
      <c r="BOG92" s="166"/>
      <c r="BOH92" s="166"/>
      <c r="BOI92" s="166"/>
      <c r="BOJ92" s="166"/>
      <c r="BOK92" s="166"/>
      <c r="BOL92" s="166"/>
      <c r="BOM92" s="166"/>
      <c r="BON92" s="166"/>
      <c r="BOO92" s="166"/>
      <c r="BOP92" s="166"/>
      <c r="BOQ92" s="166"/>
      <c r="BOR92" s="166"/>
      <c r="BOS92" s="166"/>
      <c r="BOT92" s="166"/>
      <c r="BOU92" s="166"/>
      <c r="BOV92" s="166"/>
      <c r="BOW92" s="166"/>
      <c r="BOX92" s="166"/>
      <c r="BOY92" s="166"/>
      <c r="BOZ92" s="166"/>
      <c r="BPA92" s="166"/>
      <c r="BPB92" s="166"/>
      <c r="BPC92" s="166"/>
      <c r="BPD92" s="166"/>
      <c r="BPE92" s="166"/>
      <c r="BPF92" s="166"/>
      <c r="BPG92" s="166"/>
      <c r="BPH92" s="166"/>
      <c r="BPI92" s="166"/>
      <c r="BPJ92" s="166"/>
      <c r="BPK92" s="166"/>
      <c r="BPL92" s="166"/>
      <c r="BPM92" s="166"/>
      <c r="BPN92" s="166"/>
      <c r="BPO92" s="166"/>
      <c r="BPP92" s="166"/>
      <c r="BPQ92" s="166"/>
      <c r="BPR92" s="166"/>
      <c r="BPS92" s="166"/>
      <c r="BPT92" s="166"/>
      <c r="BPU92" s="166"/>
      <c r="BPV92" s="166"/>
      <c r="BPW92" s="166"/>
      <c r="BPX92" s="166"/>
      <c r="BPY92" s="166"/>
      <c r="BPZ92" s="166"/>
      <c r="BQA92" s="166"/>
      <c r="BQB92" s="166"/>
      <c r="BQC92" s="166"/>
      <c r="BQD92" s="166"/>
      <c r="BQE92" s="166"/>
      <c r="BQF92" s="166"/>
      <c r="BQG92" s="166"/>
      <c r="BQH92" s="166"/>
      <c r="BQI92" s="166"/>
      <c r="BQJ92" s="166"/>
      <c r="BQK92" s="166"/>
      <c r="BQL92" s="166"/>
      <c r="BQM92" s="166"/>
      <c r="BQN92" s="166"/>
      <c r="BQO92" s="166"/>
      <c r="BQP92" s="166"/>
      <c r="BQQ92" s="166"/>
      <c r="BQR92" s="166"/>
      <c r="BQS92" s="166"/>
      <c r="BQT92" s="166"/>
      <c r="BQU92" s="166"/>
      <c r="BQV92" s="166"/>
      <c r="BQW92" s="166"/>
      <c r="BQX92" s="166"/>
      <c r="BQY92" s="166"/>
      <c r="BQZ92" s="166"/>
      <c r="BRA92" s="166"/>
      <c r="BRB92" s="166"/>
      <c r="BRC92" s="166"/>
      <c r="BRD92" s="166"/>
      <c r="BRE92" s="166"/>
      <c r="BRF92" s="166"/>
      <c r="BRG92" s="166"/>
      <c r="BRH92" s="166"/>
      <c r="BRI92" s="166"/>
      <c r="BRJ92" s="166"/>
      <c r="BRK92" s="166"/>
      <c r="BRL92" s="166"/>
      <c r="BRM92" s="166"/>
      <c r="BRN92" s="166"/>
      <c r="BRO92" s="166"/>
      <c r="BRP92" s="166"/>
      <c r="BRQ92" s="166"/>
      <c r="BRR92" s="166"/>
      <c r="BRS92" s="166"/>
      <c r="BRT92" s="166"/>
      <c r="BRU92" s="166"/>
      <c r="BRV92" s="166"/>
      <c r="BRW92" s="166"/>
      <c r="BRX92" s="166"/>
      <c r="BRY92" s="166"/>
      <c r="BRZ92" s="166"/>
      <c r="BSA92" s="166"/>
      <c r="BSB92" s="166"/>
      <c r="BSC92" s="166"/>
      <c r="BSD92" s="166"/>
      <c r="BSE92" s="166"/>
      <c r="BSF92" s="166"/>
      <c r="BSG92" s="166"/>
      <c r="BSH92" s="166"/>
      <c r="BSI92" s="166"/>
      <c r="BSJ92" s="166"/>
      <c r="BSK92" s="166"/>
      <c r="BSL92" s="166"/>
      <c r="BSM92" s="166"/>
      <c r="BSN92" s="166"/>
      <c r="BSO92" s="166"/>
      <c r="BSP92" s="166"/>
      <c r="BSQ92" s="166"/>
      <c r="BSR92" s="166"/>
      <c r="BSS92" s="166"/>
    </row>
    <row r="93" spans="1:1865" ht="20.100000000000001" customHeight="1" x14ac:dyDescent="0.25">
      <c r="A93" s="100" t="s">
        <v>20</v>
      </c>
      <c r="B93" s="63"/>
      <c r="C93" s="207"/>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165"/>
      <c r="BHG93" s="166"/>
      <c r="BHH93" s="166"/>
      <c r="BHI93" s="166"/>
      <c r="BHJ93" s="166"/>
      <c r="BHK93" s="166"/>
      <c r="BHL93" s="166"/>
      <c r="BHM93" s="166"/>
      <c r="BHN93" s="166"/>
      <c r="BHO93" s="166"/>
      <c r="BHP93" s="166"/>
      <c r="BHQ93" s="166"/>
      <c r="BHR93" s="166"/>
      <c r="BHS93" s="166"/>
      <c r="BHT93" s="166"/>
      <c r="BHU93" s="166"/>
      <c r="BHV93" s="166"/>
      <c r="BHW93" s="166"/>
      <c r="BHX93" s="166"/>
      <c r="BHY93" s="166"/>
      <c r="BHZ93" s="166"/>
      <c r="BIA93" s="166"/>
      <c r="BIB93" s="166"/>
      <c r="BIC93" s="166"/>
      <c r="BID93" s="166"/>
      <c r="BIE93" s="166"/>
      <c r="BIF93" s="166"/>
      <c r="BIG93" s="166"/>
      <c r="BIH93" s="166"/>
      <c r="BII93" s="166"/>
      <c r="BIJ93" s="166"/>
      <c r="BIK93" s="166"/>
      <c r="BIL93" s="166"/>
      <c r="BIM93" s="166"/>
      <c r="BIN93" s="166"/>
      <c r="BIO93" s="166"/>
      <c r="BIP93" s="166"/>
      <c r="BIQ93" s="166"/>
      <c r="BIR93" s="166"/>
      <c r="BIS93" s="166"/>
      <c r="BIT93" s="166"/>
      <c r="BIU93" s="166"/>
      <c r="BIV93" s="166"/>
      <c r="BIW93" s="166"/>
      <c r="BIX93" s="166"/>
      <c r="BIY93" s="166"/>
      <c r="BIZ93" s="166"/>
      <c r="BJA93" s="166"/>
      <c r="BJB93" s="166"/>
      <c r="BJC93" s="166"/>
      <c r="BJD93" s="166"/>
      <c r="BJE93" s="166"/>
      <c r="BJF93" s="166"/>
      <c r="BJG93" s="166"/>
      <c r="BJH93" s="166"/>
      <c r="BJI93" s="166"/>
      <c r="BJJ93" s="166"/>
      <c r="BJK93" s="166"/>
      <c r="BJL93" s="166"/>
      <c r="BJM93" s="166"/>
      <c r="BJN93" s="166"/>
      <c r="BJO93" s="166"/>
      <c r="BJP93" s="166"/>
      <c r="BJQ93" s="166"/>
      <c r="BJR93" s="166"/>
      <c r="BJS93" s="166"/>
      <c r="BJT93" s="166"/>
      <c r="BJU93" s="166"/>
      <c r="BJV93" s="166"/>
      <c r="BJW93" s="166"/>
      <c r="BJX93" s="166"/>
      <c r="BJY93" s="166"/>
      <c r="BJZ93" s="166"/>
      <c r="BKA93" s="166"/>
      <c r="BKB93" s="166"/>
      <c r="BKC93" s="166"/>
      <c r="BKD93" s="166"/>
      <c r="BKE93" s="166"/>
      <c r="BKF93" s="166"/>
      <c r="BKG93" s="166"/>
      <c r="BKH93" s="166"/>
      <c r="BKI93" s="166"/>
      <c r="BKJ93" s="166"/>
      <c r="BKK93" s="166"/>
      <c r="BKL93" s="166"/>
      <c r="BKM93" s="166"/>
      <c r="BKN93" s="166"/>
      <c r="BKO93" s="166"/>
      <c r="BKP93" s="166"/>
      <c r="BKQ93" s="166"/>
      <c r="BKR93" s="166"/>
      <c r="BKS93" s="166"/>
      <c r="BKT93" s="166"/>
      <c r="BKU93" s="166"/>
      <c r="BKV93" s="166"/>
      <c r="BKW93" s="166"/>
      <c r="BKX93" s="166"/>
      <c r="BKY93" s="166"/>
      <c r="BKZ93" s="166"/>
      <c r="BLA93" s="166"/>
      <c r="BLB93" s="166"/>
      <c r="BLC93" s="166"/>
      <c r="BLD93" s="166"/>
      <c r="BLE93" s="166"/>
      <c r="BLF93" s="166"/>
      <c r="BLG93" s="166"/>
      <c r="BLH93" s="166"/>
      <c r="BLI93" s="166"/>
      <c r="BLJ93" s="166"/>
      <c r="BLK93" s="166"/>
      <c r="BLL93" s="166"/>
      <c r="BLM93" s="166"/>
      <c r="BLN93" s="166"/>
      <c r="BLO93" s="166"/>
      <c r="BLP93" s="166"/>
      <c r="BLQ93" s="166"/>
      <c r="BLR93" s="166"/>
      <c r="BLS93" s="166"/>
      <c r="BLT93" s="166"/>
      <c r="BLU93" s="166"/>
      <c r="BLV93" s="166"/>
      <c r="BLW93" s="166"/>
      <c r="BLX93" s="166"/>
      <c r="BLY93" s="166"/>
      <c r="BLZ93" s="166"/>
      <c r="BMA93" s="166"/>
      <c r="BMB93" s="166"/>
      <c r="BMC93" s="166"/>
      <c r="BMD93" s="166"/>
      <c r="BME93" s="166"/>
      <c r="BMF93" s="166"/>
      <c r="BMG93" s="166"/>
      <c r="BMH93" s="166"/>
      <c r="BMI93" s="166"/>
      <c r="BMJ93" s="166"/>
      <c r="BMK93" s="166"/>
      <c r="BML93" s="166"/>
      <c r="BMM93" s="166"/>
      <c r="BMN93" s="166"/>
      <c r="BMO93" s="166"/>
      <c r="BMP93" s="166"/>
      <c r="BMQ93" s="166"/>
      <c r="BMR93" s="166"/>
      <c r="BMS93" s="166"/>
      <c r="BMT93" s="166"/>
      <c r="BMU93" s="166"/>
      <c r="BMV93" s="166"/>
      <c r="BMW93" s="166"/>
      <c r="BMX93" s="166"/>
      <c r="BMY93" s="166"/>
      <c r="BMZ93" s="166"/>
      <c r="BNA93" s="166"/>
      <c r="BNB93" s="166"/>
      <c r="BNC93" s="166"/>
      <c r="BND93" s="166"/>
      <c r="BNE93" s="166"/>
      <c r="BNF93" s="166"/>
      <c r="BNG93" s="166"/>
      <c r="BNH93" s="166"/>
      <c r="BNI93" s="166"/>
      <c r="BNJ93" s="166"/>
      <c r="BNK93" s="166"/>
      <c r="BNL93" s="166"/>
      <c r="BNM93" s="166"/>
      <c r="BNN93" s="166"/>
      <c r="BNO93" s="166"/>
      <c r="BNP93" s="166"/>
      <c r="BNQ93" s="166"/>
      <c r="BNR93" s="166"/>
      <c r="BNS93" s="166"/>
      <c r="BNT93" s="166"/>
      <c r="BNU93" s="166"/>
      <c r="BNV93" s="166"/>
      <c r="BNW93" s="166"/>
      <c r="BNX93" s="166"/>
      <c r="BNY93" s="166"/>
      <c r="BNZ93" s="166"/>
      <c r="BOA93" s="166"/>
      <c r="BOB93" s="166"/>
      <c r="BOC93" s="166"/>
      <c r="BOD93" s="166"/>
      <c r="BOE93" s="166"/>
      <c r="BOF93" s="166"/>
      <c r="BOG93" s="166"/>
      <c r="BOH93" s="166"/>
      <c r="BOI93" s="166"/>
      <c r="BOJ93" s="166"/>
      <c r="BOK93" s="166"/>
      <c r="BOL93" s="166"/>
      <c r="BOM93" s="166"/>
      <c r="BON93" s="166"/>
      <c r="BOO93" s="166"/>
      <c r="BOP93" s="166"/>
      <c r="BOQ93" s="166"/>
      <c r="BOR93" s="166"/>
      <c r="BOS93" s="166"/>
      <c r="BOT93" s="166"/>
      <c r="BOU93" s="166"/>
      <c r="BOV93" s="166"/>
      <c r="BOW93" s="166"/>
      <c r="BOX93" s="166"/>
      <c r="BOY93" s="166"/>
      <c r="BOZ93" s="166"/>
      <c r="BPA93" s="166"/>
      <c r="BPB93" s="166"/>
      <c r="BPC93" s="166"/>
      <c r="BPD93" s="166"/>
      <c r="BPE93" s="166"/>
      <c r="BPF93" s="166"/>
      <c r="BPG93" s="166"/>
      <c r="BPH93" s="166"/>
      <c r="BPI93" s="166"/>
      <c r="BPJ93" s="166"/>
      <c r="BPK93" s="166"/>
      <c r="BPL93" s="166"/>
      <c r="BPM93" s="166"/>
      <c r="BPN93" s="166"/>
      <c r="BPO93" s="166"/>
      <c r="BPP93" s="166"/>
      <c r="BPQ93" s="166"/>
      <c r="BPR93" s="166"/>
      <c r="BPS93" s="166"/>
      <c r="BPT93" s="166"/>
      <c r="BPU93" s="166"/>
      <c r="BPV93" s="166"/>
      <c r="BPW93" s="166"/>
      <c r="BPX93" s="166"/>
      <c r="BPY93" s="166"/>
      <c r="BPZ93" s="166"/>
      <c r="BQA93" s="166"/>
      <c r="BQB93" s="166"/>
      <c r="BQC93" s="166"/>
      <c r="BQD93" s="166"/>
      <c r="BQE93" s="166"/>
      <c r="BQF93" s="166"/>
      <c r="BQG93" s="166"/>
      <c r="BQH93" s="166"/>
      <c r="BQI93" s="166"/>
      <c r="BQJ93" s="166"/>
      <c r="BQK93" s="166"/>
      <c r="BQL93" s="166"/>
      <c r="BQM93" s="166"/>
      <c r="BQN93" s="166"/>
      <c r="BQO93" s="166"/>
      <c r="BQP93" s="166"/>
      <c r="BQQ93" s="166"/>
      <c r="BQR93" s="166"/>
      <c r="BQS93" s="166"/>
      <c r="BQT93" s="166"/>
      <c r="BQU93" s="166"/>
      <c r="BQV93" s="166"/>
      <c r="BQW93" s="166"/>
      <c r="BQX93" s="166"/>
      <c r="BQY93" s="166"/>
      <c r="BQZ93" s="166"/>
      <c r="BRA93" s="166"/>
      <c r="BRB93" s="166"/>
      <c r="BRC93" s="166"/>
      <c r="BRD93" s="166"/>
      <c r="BRE93" s="166"/>
      <c r="BRF93" s="166"/>
      <c r="BRG93" s="166"/>
      <c r="BRH93" s="166"/>
      <c r="BRI93" s="166"/>
      <c r="BRJ93" s="166"/>
      <c r="BRK93" s="166"/>
      <c r="BRL93" s="166"/>
      <c r="BRM93" s="166"/>
      <c r="BRN93" s="166"/>
      <c r="BRO93" s="166"/>
      <c r="BRP93" s="166"/>
      <c r="BRQ93" s="166"/>
      <c r="BRR93" s="166"/>
      <c r="BRS93" s="166"/>
      <c r="BRT93" s="166"/>
      <c r="BRU93" s="166"/>
      <c r="BRV93" s="166"/>
      <c r="BRW93" s="166"/>
      <c r="BRX93" s="166"/>
      <c r="BRY93" s="166"/>
      <c r="BRZ93" s="166"/>
      <c r="BSA93" s="166"/>
      <c r="BSB93" s="166"/>
      <c r="BSC93" s="166"/>
      <c r="BSD93" s="166"/>
      <c r="BSE93" s="166"/>
      <c r="BSF93" s="166"/>
      <c r="BSG93" s="166"/>
      <c r="BSH93" s="166"/>
      <c r="BSI93" s="166"/>
      <c r="BSJ93" s="166"/>
      <c r="BSK93" s="166"/>
      <c r="BSL93" s="166"/>
      <c r="BSM93" s="166"/>
      <c r="BSN93" s="166"/>
      <c r="BSO93" s="166"/>
      <c r="BSP93" s="166"/>
      <c r="BSQ93" s="166"/>
      <c r="BSR93" s="166"/>
      <c r="BSS93" s="166"/>
    </row>
    <row r="94" spans="1:1865" ht="20.100000000000001" customHeight="1" x14ac:dyDescent="0.25">
      <c r="A94" s="100" t="s">
        <v>21</v>
      </c>
      <c r="B94" s="63"/>
      <c r="C94" s="208"/>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165"/>
      <c r="BHG94" s="166"/>
      <c r="BHH94" s="166"/>
      <c r="BHI94" s="166"/>
      <c r="BHJ94" s="166"/>
      <c r="BHK94" s="166"/>
      <c r="BHL94" s="166"/>
      <c r="BHM94" s="166"/>
      <c r="BHN94" s="166"/>
      <c r="BHO94" s="166"/>
      <c r="BHP94" s="166"/>
      <c r="BHQ94" s="166"/>
      <c r="BHR94" s="166"/>
      <c r="BHS94" s="166"/>
      <c r="BHT94" s="166"/>
      <c r="BHU94" s="166"/>
      <c r="BHV94" s="166"/>
      <c r="BHW94" s="166"/>
      <c r="BHX94" s="166"/>
      <c r="BHY94" s="166"/>
      <c r="BHZ94" s="166"/>
      <c r="BIA94" s="166"/>
      <c r="BIB94" s="166"/>
      <c r="BIC94" s="166"/>
      <c r="BID94" s="166"/>
      <c r="BIE94" s="166"/>
      <c r="BIF94" s="166"/>
      <c r="BIG94" s="166"/>
      <c r="BIH94" s="166"/>
      <c r="BII94" s="166"/>
      <c r="BIJ94" s="166"/>
      <c r="BIK94" s="166"/>
      <c r="BIL94" s="166"/>
      <c r="BIM94" s="166"/>
      <c r="BIN94" s="166"/>
      <c r="BIO94" s="166"/>
      <c r="BIP94" s="166"/>
      <c r="BIQ94" s="166"/>
      <c r="BIR94" s="166"/>
      <c r="BIS94" s="166"/>
      <c r="BIT94" s="166"/>
      <c r="BIU94" s="166"/>
      <c r="BIV94" s="166"/>
      <c r="BIW94" s="166"/>
      <c r="BIX94" s="166"/>
      <c r="BIY94" s="166"/>
      <c r="BIZ94" s="166"/>
      <c r="BJA94" s="166"/>
      <c r="BJB94" s="166"/>
      <c r="BJC94" s="166"/>
      <c r="BJD94" s="166"/>
      <c r="BJE94" s="166"/>
      <c r="BJF94" s="166"/>
      <c r="BJG94" s="166"/>
      <c r="BJH94" s="166"/>
      <c r="BJI94" s="166"/>
      <c r="BJJ94" s="166"/>
      <c r="BJK94" s="166"/>
      <c r="BJL94" s="166"/>
      <c r="BJM94" s="166"/>
      <c r="BJN94" s="166"/>
      <c r="BJO94" s="166"/>
      <c r="BJP94" s="166"/>
      <c r="BJQ94" s="166"/>
      <c r="BJR94" s="166"/>
      <c r="BJS94" s="166"/>
      <c r="BJT94" s="166"/>
      <c r="BJU94" s="166"/>
      <c r="BJV94" s="166"/>
      <c r="BJW94" s="166"/>
      <c r="BJX94" s="166"/>
      <c r="BJY94" s="166"/>
      <c r="BJZ94" s="166"/>
      <c r="BKA94" s="166"/>
      <c r="BKB94" s="166"/>
      <c r="BKC94" s="166"/>
      <c r="BKD94" s="166"/>
      <c r="BKE94" s="166"/>
      <c r="BKF94" s="166"/>
      <c r="BKG94" s="166"/>
      <c r="BKH94" s="166"/>
      <c r="BKI94" s="166"/>
      <c r="BKJ94" s="166"/>
      <c r="BKK94" s="166"/>
      <c r="BKL94" s="166"/>
      <c r="BKM94" s="166"/>
      <c r="BKN94" s="166"/>
      <c r="BKO94" s="166"/>
      <c r="BKP94" s="166"/>
      <c r="BKQ94" s="166"/>
      <c r="BKR94" s="166"/>
      <c r="BKS94" s="166"/>
      <c r="BKT94" s="166"/>
      <c r="BKU94" s="166"/>
      <c r="BKV94" s="166"/>
      <c r="BKW94" s="166"/>
      <c r="BKX94" s="166"/>
      <c r="BKY94" s="166"/>
      <c r="BKZ94" s="166"/>
      <c r="BLA94" s="166"/>
      <c r="BLB94" s="166"/>
      <c r="BLC94" s="166"/>
      <c r="BLD94" s="166"/>
      <c r="BLE94" s="166"/>
      <c r="BLF94" s="166"/>
      <c r="BLG94" s="166"/>
      <c r="BLH94" s="166"/>
      <c r="BLI94" s="166"/>
      <c r="BLJ94" s="166"/>
      <c r="BLK94" s="166"/>
      <c r="BLL94" s="166"/>
      <c r="BLM94" s="166"/>
      <c r="BLN94" s="166"/>
      <c r="BLO94" s="166"/>
      <c r="BLP94" s="166"/>
      <c r="BLQ94" s="166"/>
      <c r="BLR94" s="166"/>
      <c r="BLS94" s="166"/>
      <c r="BLT94" s="166"/>
      <c r="BLU94" s="166"/>
      <c r="BLV94" s="166"/>
      <c r="BLW94" s="166"/>
      <c r="BLX94" s="166"/>
      <c r="BLY94" s="166"/>
      <c r="BLZ94" s="166"/>
      <c r="BMA94" s="166"/>
      <c r="BMB94" s="166"/>
      <c r="BMC94" s="166"/>
      <c r="BMD94" s="166"/>
      <c r="BME94" s="166"/>
      <c r="BMF94" s="166"/>
      <c r="BMG94" s="166"/>
      <c r="BMH94" s="166"/>
      <c r="BMI94" s="166"/>
      <c r="BMJ94" s="166"/>
      <c r="BMK94" s="166"/>
      <c r="BML94" s="166"/>
      <c r="BMM94" s="166"/>
      <c r="BMN94" s="166"/>
      <c r="BMO94" s="166"/>
      <c r="BMP94" s="166"/>
      <c r="BMQ94" s="166"/>
      <c r="BMR94" s="166"/>
      <c r="BMS94" s="166"/>
      <c r="BMT94" s="166"/>
      <c r="BMU94" s="166"/>
      <c r="BMV94" s="166"/>
      <c r="BMW94" s="166"/>
      <c r="BMX94" s="166"/>
      <c r="BMY94" s="166"/>
      <c r="BMZ94" s="166"/>
      <c r="BNA94" s="166"/>
      <c r="BNB94" s="166"/>
      <c r="BNC94" s="166"/>
      <c r="BND94" s="166"/>
      <c r="BNE94" s="166"/>
      <c r="BNF94" s="166"/>
      <c r="BNG94" s="166"/>
      <c r="BNH94" s="166"/>
      <c r="BNI94" s="166"/>
      <c r="BNJ94" s="166"/>
      <c r="BNK94" s="166"/>
      <c r="BNL94" s="166"/>
      <c r="BNM94" s="166"/>
      <c r="BNN94" s="166"/>
      <c r="BNO94" s="166"/>
      <c r="BNP94" s="166"/>
      <c r="BNQ94" s="166"/>
      <c r="BNR94" s="166"/>
      <c r="BNS94" s="166"/>
      <c r="BNT94" s="166"/>
      <c r="BNU94" s="166"/>
      <c r="BNV94" s="166"/>
      <c r="BNW94" s="166"/>
      <c r="BNX94" s="166"/>
      <c r="BNY94" s="166"/>
      <c r="BNZ94" s="166"/>
      <c r="BOA94" s="166"/>
      <c r="BOB94" s="166"/>
      <c r="BOC94" s="166"/>
      <c r="BOD94" s="166"/>
      <c r="BOE94" s="166"/>
      <c r="BOF94" s="166"/>
      <c r="BOG94" s="166"/>
      <c r="BOH94" s="166"/>
      <c r="BOI94" s="166"/>
      <c r="BOJ94" s="166"/>
      <c r="BOK94" s="166"/>
      <c r="BOL94" s="166"/>
      <c r="BOM94" s="166"/>
      <c r="BON94" s="166"/>
      <c r="BOO94" s="166"/>
      <c r="BOP94" s="166"/>
      <c r="BOQ94" s="166"/>
      <c r="BOR94" s="166"/>
      <c r="BOS94" s="166"/>
      <c r="BOT94" s="166"/>
      <c r="BOU94" s="166"/>
      <c r="BOV94" s="166"/>
      <c r="BOW94" s="166"/>
      <c r="BOX94" s="166"/>
      <c r="BOY94" s="166"/>
      <c r="BOZ94" s="166"/>
      <c r="BPA94" s="166"/>
      <c r="BPB94" s="166"/>
      <c r="BPC94" s="166"/>
      <c r="BPD94" s="166"/>
      <c r="BPE94" s="166"/>
      <c r="BPF94" s="166"/>
      <c r="BPG94" s="166"/>
      <c r="BPH94" s="166"/>
      <c r="BPI94" s="166"/>
      <c r="BPJ94" s="166"/>
      <c r="BPK94" s="166"/>
      <c r="BPL94" s="166"/>
      <c r="BPM94" s="166"/>
      <c r="BPN94" s="166"/>
      <c r="BPO94" s="166"/>
      <c r="BPP94" s="166"/>
      <c r="BPQ94" s="166"/>
      <c r="BPR94" s="166"/>
      <c r="BPS94" s="166"/>
      <c r="BPT94" s="166"/>
      <c r="BPU94" s="166"/>
      <c r="BPV94" s="166"/>
      <c r="BPW94" s="166"/>
      <c r="BPX94" s="166"/>
      <c r="BPY94" s="166"/>
      <c r="BPZ94" s="166"/>
      <c r="BQA94" s="166"/>
      <c r="BQB94" s="166"/>
      <c r="BQC94" s="166"/>
      <c r="BQD94" s="166"/>
      <c r="BQE94" s="166"/>
      <c r="BQF94" s="166"/>
      <c r="BQG94" s="166"/>
      <c r="BQH94" s="166"/>
      <c r="BQI94" s="166"/>
      <c r="BQJ94" s="166"/>
      <c r="BQK94" s="166"/>
      <c r="BQL94" s="166"/>
      <c r="BQM94" s="166"/>
      <c r="BQN94" s="166"/>
      <c r="BQO94" s="166"/>
      <c r="BQP94" s="166"/>
      <c r="BQQ94" s="166"/>
      <c r="BQR94" s="166"/>
      <c r="BQS94" s="166"/>
      <c r="BQT94" s="166"/>
      <c r="BQU94" s="166"/>
      <c r="BQV94" s="166"/>
      <c r="BQW94" s="166"/>
      <c r="BQX94" s="166"/>
      <c r="BQY94" s="166"/>
      <c r="BQZ94" s="166"/>
      <c r="BRA94" s="166"/>
      <c r="BRB94" s="166"/>
      <c r="BRC94" s="166"/>
      <c r="BRD94" s="166"/>
      <c r="BRE94" s="166"/>
      <c r="BRF94" s="166"/>
      <c r="BRG94" s="166"/>
      <c r="BRH94" s="166"/>
      <c r="BRI94" s="166"/>
      <c r="BRJ94" s="166"/>
      <c r="BRK94" s="166"/>
      <c r="BRL94" s="166"/>
      <c r="BRM94" s="166"/>
      <c r="BRN94" s="166"/>
      <c r="BRO94" s="166"/>
      <c r="BRP94" s="166"/>
      <c r="BRQ94" s="166"/>
      <c r="BRR94" s="166"/>
      <c r="BRS94" s="166"/>
      <c r="BRT94" s="166"/>
      <c r="BRU94" s="166"/>
      <c r="BRV94" s="166"/>
      <c r="BRW94" s="166"/>
      <c r="BRX94" s="166"/>
      <c r="BRY94" s="166"/>
      <c r="BRZ94" s="166"/>
      <c r="BSA94" s="166"/>
      <c r="BSB94" s="166"/>
      <c r="BSC94" s="166"/>
      <c r="BSD94" s="166"/>
      <c r="BSE94" s="166"/>
      <c r="BSF94" s="166"/>
      <c r="BSG94" s="166"/>
      <c r="BSH94" s="166"/>
      <c r="BSI94" s="166"/>
      <c r="BSJ94" s="166"/>
      <c r="BSK94" s="166"/>
      <c r="BSL94" s="166"/>
      <c r="BSM94" s="166"/>
      <c r="BSN94" s="166"/>
      <c r="BSO94" s="166"/>
      <c r="BSP94" s="166"/>
      <c r="BSQ94" s="166"/>
      <c r="BSR94" s="166"/>
      <c r="BSS94" s="166"/>
    </row>
    <row r="95" spans="1:1865" ht="20.100000000000001" customHeight="1" x14ac:dyDescent="0.25">
      <c r="B95" s="96"/>
      <c r="C95" s="199" t="s">
        <v>9</v>
      </c>
      <c r="D95" s="200"/>
      <c r="E95" s="117">
        <f>SUM(E15,E17,E19,E21,E23,E25,E27,E29,E31,E33,E35,E37,E39,E41,E43,E45,E47,E49,E51,E53,E55,E57,E59,E61,E63,E65,E67,E69,E71,E73,E75,E77,E79,E81,E83,E85,E87,E89,E91,E93)</f>
        <v>1078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90"/>
    </row>
    <row r="96" spans="1:1865" ht="20.100000000000001" customHeight="1" thickBot="1" x14ac:dyDescent="0.3">
      <c r="B96" s="96"/>
      <c r="C96" s="201"/>
      <c r="D96" s="202"/>
      <c r="E96" s="123" t="str">
        <f xml:space="preserve"> setValueToTime(E95)</f>
        <v>89h50min</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90"/>
    </row>
    <row r="97" spans="2:1566" ht="20.100000000000001" customHeight="1" x14ac:dyDescent="0.25">
      <c r="B97" s="96"/>
      <c r="C97" s="203" t="s">
        <v>10</v>
      </c>
      <c r="D97" s="204"/>
      <c r="E97" s="118">
        <f>SUM(E16,E18,E20,E22,E24,E26,E28,E30,E32,E34,E36,E38,E40,E42,E44,E46,E48,E50,E52,E54,E56,E58,E60,E62,E64,E66,E68,E70,E72,E74,E76,E78,E80,E82,E84,E86,E88,E90,E92,E94)</f>
        <v>76</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24"/>
    </row>
    <row r="98" spans="2:1566" ht="20.100000000000001" customHeight="1" thickBot="1" x14ac:dyDescent="0.3">
      <c r="B98" s="96"/>
      <c r="C98" s="205"/>
      <c r="D98" s="206"/>
      <c r="E98" s="122" t="str">
        <f xml:space="preserve"> setValueToTime(E97)</f>
        <v>6h20min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90"/>
    </row>
    <row r="99" spans="2:156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91"/>
    </row>
  </sheetData>
  <sheetProtection insertRows="0" insertHyperlinks="0" selectLockedCells="1"/>
  <mergeCells count="388">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EL14:EO14"/>
    <mergeCell ref="EX14:FA14"/>
    <mergeCell ref="FJ14:FM14"/>
    <mergeCell ref="FV14:FY14"/>
    <mergeCell ref="EF14:EI14"/>
    <mergeCell ref="ER14:EU14"/>
    <mergeCell ref="FD14:FG14"/>
    <mergeCell ref="V14:Y14"/>
    <mergeCell ref="AB14:AE14"/>
    <mergeCell ref="AH14:AK14"/>
    <mergeCell ref="FP14:FS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191"/>
  <sheetViews>
    <sheetView showGridLines="0" zoomScaleNormal="100" zoomScaleSheetLayoutView="98" workbookViewId="0">
      <pane ySplit="1" topLeftCell="A165" activePane="bottomLeft" state="frozen"/>
      <selection activeCell="BC13" sqref="BC13"/>
      <selection pane="bottomLeft" activeCell="A188" sqref="A188"/>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855468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12</v>
      </c>
      <c r="B2" s="163">
        <v>26</v>
      </c>
      <c r="C2" s="163"/>
      <c r="D2" s="82" t="s">
        <v>15</v>
      </c>
      <c r="E2" s="94">
        <v>44351</v>
      </c>
      <c r="F2" s="126" t="s">
        <v>45</v>
      </c>
      <c r="G2" s="46"/>
    </row>
    <row r="3" spans="1:7" s="47" customFormat="1" ht="30" customHeight="1" thickBot="1" x14ac:dyDescent="0.3">
      <c r="A3" s="80" t="s">
        <v>5</v>
      </c>
      <c r="B3" s="150" t="s">
        <v>41</v>
      </c>
      <c r="C3" s="151">
        <v>48</v>
      </c>
      <c r="D3" s="80" t="s">
        <v>13</v>
      </c>
      <c r="E3" s="224" t="s">
        <v>14</v>
      </c>
      <c r="F3" s="225"/>
      <c r="G3" s="46"/>
    </row>
    <row r="4" spans="1:7" s="52" customFormat="1" x14ac:dyDescent="0.3">
      <c r="A4" s="48" t="s">
        <v>16</v>
      </c>
      <c r="B4" s="49">
        <v>36</v>
      </c>
      <c r="C4" s="152" t="str">
        <f xml:space="preserve"> IF(B4="","",setValueToTime(B4))</f>
        <v>3h</v>
      </c>
      <c r="D4" s="50"/>
      <c r="E4" s="226"/>
      <c r="F4" s="227"/>
      <c r="G4" s="51"/>
    </row>
    <row r="5" spans="1:7" s="52" customFormat="1" ht="15" thickBot="1" x14ac:dyDescent="0.35">
      <c r="A5" s="54" t="s">
        <v>17</v>
      </c>
      <c r="B5" s="54">
        <v>2</v>
      </c>
      <c r="C5" s="153" t="str">
        <f t="shared" ref="C5" si="0" xml:space="preserve"> IF(B5="","",setValueToTime(B5))</f>
        <v>0h10min</v>
      </c>
      <c r="D5" s="55"/>
      <c r="E5" s="228"/>
      <c r="F5" s="229"/>
      <c r="G5" s="51"/>
    </row>
    <row r="6" spans="1:7" s="52" customFormat="1" ht="15" thickBot="1" x14ac:dyDescent="0.35">
      <c r="A6" s="111" t="s">
        <v>29</v>
      </c>
      <c r="B6" s="84">
        <f>SUM(B4:B5)</f>
        <v>38</v>
      </c>
      <c r="C6" s="111" t="str">
        <f xml:space="preserve"> setValueToTime(B6)</f>
        <v>3h10min</v>
      </c>
      <c r="D6" s="120"/>
      <c r="E6" s="230"/>
      <c r="F6" s="231"/>
      <c r="G6" s="51"/>
    </row>
    <row r="7" spans="1:7" s="59" customFormat="1" ht="15" thickBot="1" x14ac:dyDescent="0.35">
      <c r="A7" s="79"/>
      <c r="B7" s="79"/>
      <c r="C7" s="79"/>
      <c r="D7" s="79"/>
      <c r="E7" s="79"/>
      <c r="F7" s="79"/>
      <c r="G7" s="58"/>
    </row>
    <row r="8" spans="1:7" s="47" customFormat="1" ht="30" customHeight="1" thickBot="1" x14ac:dyDescent="0.3">
      <c r="A8" s="81" t="s">
        <v>12</v>
      </c>
      <c r="B8" s="163">
        <v>25</v>
      </c>
      <c r="C8" s="163"/>
      <c r="D8" s="82" t="s">
        <v>15</v>
      </c>
      <c r="E8" s="94">
        <v>44350</v>
      </c>
      <c r="F8" s="126" t="s">
        <v>44</v>
      </c>
      <c r="G8" s="46"/>
    </row>
    <row r="9" spans="1:7" s="47" customFormat="1" ht="30" customHeight="1" thickBot="1" x14ac:dyDescent="0.3">
      <c r="A9" s="80" t="s">
        <v>5</v>
      </c>
      <c r="B9" s="150" t="s">
        <v>41</v>
      </c>
      <c r="C9" s="151">
        <v>38</v>
      </c>
      <c r="D9" s="80" t="s">
        <v>13</v>
      </c>
      <c r="E9" s="224" t="s">
        <v>14</v>
      </c>
      <c r="F9" s="225"/>
      <c r="G9" s="46"/>
    </row>
    <row r="10" spans="1:7" s="52" customFormat="1" x14ac:dyDescent="0.3">
      <c r="A10" s="48" t="s">
        <v>16</v>
      </c>
      <c r="B10" s="49">
        <v>36</v>
      </c>
      <c r="C10" s="152" t="str">
        <f xml:space="preserve"> IF(B10="","",setValueToTime(B10))</f>
        <v>3h</v>
      </c>
      <c r="D10" s="50"/>
      <c r="E10" s="226"/>
      <c r="F10" s="227"/>
      <c r="G10" s="51"/>
    </row>
    <row r="11" spans="1:7" s="52" customFormat="1" ht="15" thickBot="1" x14ac:dyDescent="0.35">
      <c r="A11" s="54" t="s">
        <v>17</v>
      </c>
      <c r="B11" s="54">
        <v>2</v>
      </c>
      <c r="C11" s="153" t="str">
        <f t="shared" ref="C11" si="1" xml:space="preserve"> IF(B11="","",setValueToTime(B11))</f>
        <v>0h10min</v>
      </c>
      <c r="D11" s="55"/>
      <c r="E11" s="228"/>
      <c r="F11" s="229"/>
      <c r="G11" s="51"/>
    </row>
    <row r="12" spans="1:7" s="52" customFormat="1" ht="15" thickBot="1" x14ac:dyDescent="0.35">
      <c r="A12" s="111" t="s">
        <v>29</v>
      </c>
      <c r="B12" s="84">
        <f>SUM(B10:B11)</f>
        <v>38</v>
      </c>
      <c r="C12" s="111" t="str">
        <f xml:space="preserve"> setValueToTime(B12)</f>
        <v>3h10min</v>
      </c>
      <c r="D12" s="120"/>
      <c r="E12" s="230"/>
      <c r="F12" s="231"/>
      <c r="G12" s="51"/>
    </row>
    <row r="13" spans="1:7" s="59" customFormat="1" ht="15" thickBot="1" x14ac:dyDescent="0.35">
      <c r="A13" s="79"/>
      <c r="B13" s="79"/>
      <c r="C13" s="79"/>
      <c r="D13" s="79"/>
      <c r="E13" s="79"/>
      <c r="F13" s="79"/>
      <c r="G13" s="58"/>
    </row>
    <row r="14" spans="1:7" s="47" customFormat="1" ht="30" customHeight="1" thickBot="1" x14ac:dyDescent="0.3">
      <c r="A14" s="81" t="s">
        <v>12</v>
      </c>
      <c r="B14" s="163">
        <v>24</v>
      </c>
      <c r="C14" s="163"/>
      <c r="D14" s="82" t="s">
        <v>15</v>
      </c>
      <c r="E14" s="94">
        <v>44350</v>
      </c>
      <c r="F14" s="126" t="s">
        <v>45</v>
      </c>
      <c r="G14" s="46"/>
    </row>
    <row r="15" spans="1:7" s="47" customFormat="1" ht="30" customHeight="1" thickBot="1" x14ac:dyDescent="0.3">
      <c r="A15" s="80" t="s">
        <v>5</v>
      </c>
      <c r="B15" s="150" t="s">
        <v>41</v>
      </c>
      <c r="C15" s="151">
        <v>48</v>
      </c>
      <c r="D15" s="80" t="s">
        <v>13</v>
      </c>
      <c r="E15" s="224" t="s">
        <v>14</v>
      </c>
      <c r="F15" s="225"/>
      <c r="G15" s="46"/>
    </row>
    <row r="16" spans="1:7" s="52" customFormat="1" x14ac:dyDescent="0.3">
      <c r="A16" s="48" t="s">
        <v>16</v>
      </c>
      <c r="B16" s="49">
        <v>46</v>
      </c>
      <c r="C16" s="152" t="str">
        <f xml:space="preserve"> IF(B16="","",setValueToTime(B16))</f>
        <v>3h50min</v>
      </c>
      <c r="D16" s="50"/>
      <c r="E16" s="226"/>
      <c r="F16" s="227"/>
      <c r="G16" s="51"/>
    </row>
    <row r="17" spans="1:7" s="52" customFormat="1" ht="15" thickBot="1" x14ac:dyDescent="0.35">
      <c r="A17" s="54" t="s">
        <v>17</v>
      </c>
      <c r="B17" s="54">
        <v>2</v>
      </c>
      <c r="C17" s="153" t="str">
        <f t="shared" ref="C17" si="2" xml:space="preserve"> IF(B17="","",setValueToTime(B17))</f>
        <v>0h10min</v>
      </c>
      <c r="D17" s="55"/>
      <c r="E17" s="228"/>
      <c r="F17" s="229"/>
      <c r="G17" s="51"/>
    </row>
    <row r="18" spans="1:7" s="52" customFormat="1" ht="15" thickBot="1" x14ac:dyDescent="0.35">
      <c r="A18" s="111" t="s">
        <v>29</v>
      </c>
      <c r="B18" s="84">
        <f>SUM(B16:B17)</f>
        <v>48</v>
      </c>
      <c r="C18" s="111" t="str">
        <f xml:space="preserve"> setValueToTime(B18)</f>
        <v>4h</v>
      </c>
      <c r="D18" s="120"/>
      <c r="E18" s="230"/>
      <c r="F18" s="231"/>
      <c r="G18" s="51"/>
    </row>
    <row r="19" spans="1:7" s="59" customFormat="1" ht="15" thickBot="1" x14ac:dyDescent="0.35">
      <c r="A19" s="79"/>
      <c r="B19" s="79"/>
      <c r="C19" s="79"/>
      <c r="D19" s="79"/>
      <c r="E19" s="79"/>
      <c r="F19" s="79"/>
      <c r="G19" s="58"/>
    </row>
    <row r="20" spans="1:7" s="47" customFormat="1" ht="30" customHeight="1" thickBot="1" x14ac:dyDescent="0.3">
      <c r="A20" s="81" t="s">
        <v>12</v>
      </c>
      <c r="B20" s="163">
        <v>23</v>
      </c>
      <c r="C20" s="163"/>
      <c r="D20" s="82" t="s">
        <v>15</v>
      </c>
      <c r="E20" s="94">
        <v>44349</v>
      </c>
      <c r="F20" s="126" t="s">
        <v>44</v>
      </c>
      <c r="G20" s="46"/>
    </row>
    <row r="21" spans="1:7" s="47" customFormat="1" ht="30" customHeight="1" thickBot="1" x14ac:dyDescent="0.3">
      <c r="A21" s="80" t="s">
        <v>5</v>
      </c>
      <c r="B21" s="150" t="s">
        <v>41</v>
      </c>
      <c r="C21" s="151">
        <v>38</v>
      </c>
      <c r="D21" s="80" t="s">
        <v>13</v>
      </c>
      <c r="E21" s="224" t="s">
        <v>14</v>
      </c>
      <c r="F21" s="225"/>
      <c r="G21" s="46"/>
    </row>
    <row r="22" spans="1:7" s="52" customFormat="1" ht="27" x14ac:dyDescent="0.3">
      <c r="A22" s="48" t="s">
        <v>99</v>
      </c>
      <c r="B22" s="49">
        <v>34</v>
      </c>
      <c r="C22" s="152" t="str">
        <f xml:space="preserve"> IF(B22="","",setValueToTime(B22))</f>
        <v>2h50min</v>
      </c>
      <c r="D22" s="50"/>
      <c r="E22" s="226"/>
      <c r="F22" s="227"/>
      <c r="G22" s="51"/>
    </row>
    <row r="23" spans="1:7" s="52" customFormat="1" x14ac:dyDescent="0.3">
      <c r="A23" s="53" t="s">
        <v>100</v>
      </c>
      <c r="B23" s="54">
        <v>10</v>
      </c>
      <c r="C23" s="153" t="str">
        <f t="shared" ref="C23:C25" si="3" xml:space="preserve"> IF(B23="","",setValueToTime(B23))</f>
        <v>0h50min</v>
      </c>
      <c r="D23" s="55"/>
      <c r="E23" s="228"/>
      <c r="F23" s="229"/>
      <c r="G23" s="51"/>
    </row>
    <row r="24" spans="1:7" s="52" customFormat="1" x14ac:dyDescent="0.3">
      <c r="A24" s="54" t="s">
        <v>17</v>
      </c>
      <c r="B24" s="54">
        <v>2</v>
      </c>
      <c r="C24" s="154" t="str">
        <f t="shared" si="3"/>
        <v>0h10min</v>
      </c>
      <c r="D24" s="55"/>
      <c r="E24" s="228"/>
      <c r="F24" s="229"/>
      <c r="G24" s="51"/>
    </row>
    <row r="25" spans="1:7" s="52" customFormat="1" ht="15" thickBot="1" x14ac:dyDescent="0.35">
      <c r="A25" s="56" t="s">
        <v>16</v>
      </c>
      <c r="B25" s="56">
        <v>2</v>
      </c>
      <c r="C25" s="155" t="str">
        <f t="shared" si="3"/>
        <v>0h10min</v>
      </c>
      <c r="D25" s="57"/>
      <c r="E25" s="232"/>
      <c r="F25" s="233"/>
      <c r="G25" s="51"/>
    </row>
    <row r="26" spans="1:7" s="52" customFormat="1" ht="15" thickBot="1" x14ac:dyDescent="0.35">
      <c r="A26" s="111" t="s">
        <v>29</v>
      </c>
      <c r="B26" s="84">
        <f>SUM(B22:B25)</f>
        <v>48</v>
      </c>
      <c r="C26" s="111" t="str">
        <f xml:space="preserve"> setValueToTime(B26)</f>
        <v>4h</v>
      </c>
      <c r="D26" s="120"/>
      <c r="E26" s="230"/>
      <c r="F26" s="231"/>
      <c r="G26" s="51"/>
    </row>
    <row r="27" spans="1:7" s="59" customFormat="1" ht="15" thickBot="1" x14ac:dyDescent="0.35">
      <c r="A27" s="79"/>
      <c r="B27" s="79"/>
      <c r="C27" s="79"/>
      <c r="D27" s="79"/>
      <c r="E27" s="79"/>
      <c r="F27" s="79"/>
      <c r="G27" s="58"/>
    </row>
    <row r="28" spans="1:7" s="47" customFormat="1" ht="30" customHeight="1" thickBot="1" x14ac:dyDescent="0.3">
      <c r="A28" s="81" t="s">
        <v>12</v>
      </c>
      <c r="B28" s="163">
        <v>22</v>
      </c>
      <c r="C28" s="163"/>
      <c r="D28" s="82" t="s">
        <v>15</v>
      </c>
      <c r="E28" s="94">
        <v>44349</v>
      </c>
      <c r="F28" s="126" t="s">
        <v>45</v>
      </c>
      <c r="G28" s="46"/>
    </row>
    <row r="29" spans="1:7" s="47" customFormat="1" ht="30" customHeight="1" thickBot="1" x14ac:dyDescent="0.3">
      <c r="A29" s="80" t="s">
        <v>5</v>
      </c>
      <c r="B29" s="150" t="s">
        <v>41</v>
      </c>
      <c r="C29" s="151">
        <v>48</v>
      </c>
      <c r="D29" s="80" t="s">
        <v>13</v>
      </c>
      <c r="E29" s="224" t="s">
        <v>14</v>
      </c>
      <c r="F29" s="225"/>
      <c r="G29" s="46"/>
    </row>
    <row r="30" spans="1:7" s="52" customFormat="1" ht="27" x14ac:dyDescent="0.3">
      <c r="A30" s="48" t="s">
        <v>98</v>
      </c>
      <c r="B30" s="49">
        <v>24</v>
      </c>
      <c r="C30" s="152" t="str">
        <f xml:space="preserve"> IF(B30="","",setValueToTime(B30))</f>
        <v>2h</v>
      </c>
      <c r="D30" s="50"/>
      <c r="E30" s="226"/>
      <c r="F30" s="227"/>
      <c r="G30" s="51"/>
    </row>
    <row r="31" spans="1:7" s="52" customFormat="1" ht="27" x14ac:dyDescent="0.3">
      <c r="A31" s="53" t="s">
        <v>99</v>
      </c>
      <c r="B31" s="54">
        <v>20</v>
      </c>
      <c r="C31" s="153" t="str">
        <f t="shared" ref="C31:C33" si="4" xml:space="preserve"> IF(B31="","",setValueToTime(B31))</f>
        <v>1h40min</v>
      </c>
      <c r="D31" s="55"/>
      <c r="E31" s="228"/>
      <c r="F31" s="229"/>
      <c r="G31" s="51"/>
    </row>
    <row r="32" spans="1:7" s="52" customFormat="1" x14ac:dyDescent="0.3">
      <c r="A32" s="54" t="s">
        <v>17</v>
      </c>
      <c r="B32" s="54">
        <v>2</v>
      </c>
      <c r="C32" s="154" t="str">
        <f t="shared" si="4"/>
        <v>0h10min</v>
      </c>
      <c r="D32" s="55"/>
      <c r="E32" s="228"/>
      <c r="F32" s="229"/>
      <c r="G32" s="51"/>
    </row>
    <row r="33" spans="1:7" s="52" customFormat="1" ht="15" thickBot="1" x14ac:dyDescent="0.35">
      <c r="A33" s="56" t="s">
        <v>16</v>
      </c>
      <c r="B33" s="56">
        <v>2</v>
      </c>
      <c r="C33" s="155" t="str">
        <f t="shared" si="4"/>
        <v>0h10min</v>
      </c>
      <c r="D33" s="57"/>
      <c r="E33" s="232"/>
      <c r="F33" s="233"/>
      <c r="G33" s="51"/>
    </row>
    <row r="34" spans="1:7" s="52" customFormat="1" ht="15" thickBot="1" x14ac:dyDescent="0.35">
      <c r="A34" s="111" t="s">
        <v>29</v>
      </c>
      <c r="B34" s="84">
        <f>SUM(B30:B33)</f>
        <v>48</v>
      </c>
      <c r="C34" s="111" t="str">
        <f xml:space="preserve"> setValueToTime(B34)</f>
        <v>4h</v>
      </c>
      <c r="D34" s="120"/>
      <c r="E34" s="230"/>
      <c r="F34" s="231"/>
      <c r="G34" s="51"/>
    </row>
    <row r="35" spans="1:7" s="59" customFormat="1" ht="15" thickBot="1" x14ac:dyDescent="0.35">
      <c r="A35" s="79"/>
      <c r="B35" s="79"/>
      <c r="C35" s="79"/>
      <c r="D35" s="79"/>
      <c r="E35" s="79"/>
      <c r="F35" s="79"/>
      <c r="G35" s="58"/>
    </row>
    <row r="36" spans="1:7" s="47" customFormat="1" ht="30" customHeight="1" thickBot="1" x14ac:dyDescent="0.3">
      <c r="A36" s="81" t="s">
        <v>12</v>
      </c>
      <c r="B36" s="163">
        <v>21</v>
      </c>
      <c r="C36" s="163"/>
      <c r="D36" s="82" t="s">
        <v>15</v>
      </c>
      <c r="E36" s="94">
        <v>44347</v>
      </c>
      <c r="F36" s="126" t="s">
        <v>45</v>
      </c>
      <c r="G36" s="46"/>
    </row>
    <row r="37" spans="1:7" s="47" customFormat="1" ht="30" customHeight="1" thickBot="1" x14ac:dyDescent="0.3">
      <c r="A37" s="80" t="s">
        <v>5</v>
      </c>
      <c r="B37" s="150" t="s">
        <v>41</v>
      </c>
      <c r="C37" s="151">
        <v>38</v>
      </c>
      <c r="D37" s="80" t="s">
        <v>13</v>
      </c>
      <c r="E37" s="224" t="s">
        <v>14</v>
      </c>
      <c r="F37" s="225"/>
      <c r="G37" s="46"/>
    </row>
    <row r="38" spans="1:7" s="52" customFormat="1" ht="27" x14ac:dyDescent="0.3">
      <c r="A38" s="48" t="s">
        <v>98</v>
      </c>
      <c r="B38" s="49">
        <v>34</v>
      </c>
      <c r="C38" s="152" t="str">
        <f xml:space="preserve"> IF(B38="","",setValueToTime(B38))</f>
        <v>2h50min</v>
      </c>
      <c r="D38" s="50"/>
      <c r="E38" s="226"/>
      <c r="F38" s="227"/>
      <c r="G38" s="51"/>
    </row>
    <row r="39" spans="1:7" s="52" customFormat="1" x14ac:dyDescent="0.3">
      <c r="A39" s="54" t="s">
        <v>17</v>
      </c>
      <c r="B39" s="54">
        <v>2</v>
      </c>
      <c r="C39" s="154" t="str">
        <f t="shared" ref="C39:C40" si="5" xml:space="preserve"> IF(B39="","",setValueToTime(B39))</f>
        <v>0h10min</v>
      </c>
      <c r="D39" s="55"/>
      <c r="E39" s="228"/>
      <c r="F39" s="229"/>
      <c r="G39" s="51"/>
    </row>
    <row r="40" spans="1:7" s="52" customFormat="1" ht="15" thickBot="1" x14ac:dyDescent="0.35">
      <c r="A40" s="56" t="s">
        <v>16</v>
      </c>
      <c r="B40" s="56">
        <v>2</v>
      </c>
      <c r="C40" s="155" t="str">
        <f t="shared" si="5"/>
        <v>0h10min</v>
      </c>
      <c r="D40" s="57"/>
      <c r="E40" s="232"/>
      <c r="F40" s="233"/>
      <c r="G40" s="51"/>
    </row>
    <row r="41" spans="1:7" s="52" customFormat="1" ht="15" thickBot="1" x14ac:dyDescent="0.35">
      <c r="A41" s="111" t="s">
        <v>29</v>
      </c>
      <c r="B41" s="84">
        <f>SUM(B38:B40)</f>
        <v>38</v>
      </c>
      <c r="C41" s="111" t="str">
        <f xml:space="preserve"> setValueToTime(B41)</f>
        <v>3h10min</v>
      </c>
      <c r="D41" s="120"/>
      <c r="E41" s="230"/>
      <c r="F41" s="231"/>
      <c r="G41" s="51"/>
    </row>
    <row r="42" spans="1:7" s="59" customFormat="1" ht="15" thickBot="1" x14ac:dyDescent="0.35">
      <c r="A42" s="79"/>
      <c r="B42" s="79"/>
      <c r="C42" s="79"/>
      <c r="D42" s="79"/>
      <c r="E42" s="79"/>
      <c r="F42" s="79"/>
      <c r="G42" s="58"/>
    </row>
    <row r="43" spans="1:7" s="47" customFormat="1" ht="30" customHeight="1" thickBot="1" x14ac:dyDescent="0.3">
      <c r="A43" s="81" t="s">
        <v>12</v>
      </c>
      <c r="B43" s="163">
        <v>20</v>
      </c>
      <c r="C43" s="163"/>
      <c r="D43" s="82" t="s">
        <v>15</v>
      </c>
      <c r="E43" s="94">
        <v>44344</v>
      </c>
      <c r="F43" s="126" t="s">
        <v>44</v>
      </c>
      <c r="G43" s="46"/>
    </row>
    <row r="44" spans="1:7" s="47" customFormat="1" ht="30" customHeight="1" thickBot="1" x14ac:dyDescent="0.3">
      <c r="A44" s="80" t="s">
        <v>5</v>
      </c>
      <c r="B44" s="150" t="s">
        <v>41</v>
      </c>
      <c r="C44" s="151">
        <v>38</v>
      </c>
      <c r="D44" s="80" t="s">
        <v>13</v>
      </c>
      <c r="E44" s="224" t="s">
        <v>14</v>
      </c>
      <c r="F44" s="225"/>
      <c r="G44" s="46"/>
    </row>
    <row r="45" spans="1:7" s="52" customFormat="1" ht="27" x14ac:dyDescent="0.3">
      <c r="A45" s="48" t="s">
        <v>98</v>
      </c>
      <c r="B45" s="49">
        <v>34</v>
      </c>
      <c r="C45" s="152" t="str">
        <f xml:space="preserve"> IF(B45="","",setValueToTime(B45))</f>
        <v>2h50min</v>
      </c>
      <c r="D45" s="50"/>
      <c r="E45" s="226"/>
      <c r="F45" s="227"/>
      <c r="G45" s="51"/>
    </row>
    <row r="46" spans="1:7" s="52" customFormat="1" x14ac:dyDescent="0.3">
      <c r="A46" s="54" t="s">
        <v>17</v>
      </c>
      <c r="B46" s="54">
        <v>2</v>
      </c>
      <c r="C46" s="154" t="str">
        <f t="shared" ref="C46:C47" si="6" xml:space="preserve"> IF(B46="","",setValueToTime(B46))</f>
        <v>0h10min</v>
      </c>
      <c r="D46" s="55"/>
      <c r="E46" s="228"/>
      <c r="F46" s="229"/>
      <c r="G46" s="51"/>
    </row>
    <row r="47" spans="1:7" s="52" customFormat="1" ht="15" thickBot="1" x14ac:dyDescent="0.35">
      <c r="A47" s="56" t="s">
        <v>16</v>
      </c>
      <c r="B47" s="56">
        <v>2</v>
      </c>
      <c r="C47" s="155" t="str">
        <f t="shared" si="6"/>
        <v>0h10min</v>
      </c>
      <c r="D47" s="57"/>
      <c r="E47" s="232"/>
      <c r="F47" s="233"/>
      <c r="G47" s="51"/>
    </row>
    <row r="48" spans="1:7" s="52" customFormat="1" ht="15" thickBot="1" x14ac:dyDescent="0.35">
      <c r="A48" s="111" t="s">
        <v>29</v>
      </c>
      <c r="B48" s="84">
        <f>SUM(B45:B47)</f>
        <v>38</v>
      </c>
      <c r="C48" s="111" t="str">
        <f xml:space="preserve"> setValueToTime(B48)</f>
        <v>3h10min</v>
      </c>
      <c r="D48" s="120"/>
      <c r="E48" s="230"/>
      <c r="F48" s="231"/>
      <c r="G48" s="51"/>
    </row>
    <row r="49" spans="1:7" s="59" customFormat="1" ht="15" thickBot="1" x14ac:dyDescent="0.35">
      <c r="A49" s="79"/>
      <c r="B49" s="79"/>
      <c r="C49" s="79"/>
      <c r="D49" s="79"/>
      <c r="E49" s="79"/>
      <c r="F49" s="79"/>
      <c r="G49" s="58"/>
    </row>
    <row r="50" spans="1:7" s="47" customFormat="1" ht="30" customHeight="1" thickBot="1" x14ac:dyDescent="0.3">
      <c r="A50" s="81" t="s">
        <v>12</v>
      </c>
      <c r="B50" s="163">
        <v>19</v>
      </c>
      <c r="C50" s="163"/>
      <c r="D50" s="82" t="s">
        <v>15</v>
      </c>
      <c r="E50" s="94">
        <v>44344</v>
      </c>
      <c r="F50" s="126" t="s">
        <v>45</v>
      </c>
      <c r="G50" s="46"/>
    </row>
    <row r="51" spans="1:7" s="47" customFormat="1" ht="30" customHeight="1" thickBot="1" x14ac:dyDescent="0.3">
      <c r="A51" s="80" t="s">
        <v>5</v>
      </c>
      <c r="B51" s="150" t="s">
        <v>41</v>
      </c>
      <c r="C51" s="151">
        <v>38</v>
      </c>
      <c r="D51" s="80" t="s">
        <v>13</v>
      </c>
      <c r="E51" s="224" t="s">
        <v>14</v>
      </c>
      <c r="F51" s="225"/>
      <c r="G51" s="46"/>
    </row>
    <row r="52" spans="1:7" s="52" customFormat="1" x14ac:dyDescent="0.3">
      <c r="A52" s="48" t="s">
        <v>112</v>
      </c>
      <c r="B52" s="49">
        <v>10</v>
      </c>
      <c r="C52" s="152" t="str">
        <f xml:space="preserve"> IF(B52="","",setValueToTime(B52))</f>
        <v>0h50min</v>
      </c>
      <c r="D52" s="50"/>
      <c r="E52" s="226"/>
      <c r="F52" s="227"/>
      <c r="G52" s="51"/>
    </row>
    <row r="53" spans="1:7" s="52" customFormat="1" ht="27" x14ac:dyDescent="0.3">
      <c r="A53" s="53" t="s">
        <v>98</v>
      </c>
      <c r="B53" s="54">
        <v>24</v>
      </c>
      <c r="C53" s="153" t="str">
        <f t="shared" ref="C53:C55" si="7" xml:space="preserve"> IF(B53="","",setValueToTime(B53))</f>
        <v>2h</v>
      </c>
      <c r="D53" s="55"/>
      <c r="E53" s="228"/>
      <c r="F53" s="229"/>
      <c r="G53" s="51"/>
    </row>
    <row r="54" spans="1:7" s="52" customFormat="1" x14ac:dyDescent="0.3">
      <c r="A54" s="54" t="s">
        <v>17</v>
      </c>
      <c r="B54" s="54">
        <v>2</v>
      </c>
      <c r="C54" s="154" t="str">
        <f t="shared" si="7"/>
        <v>0h10min</v>
      </c>
      <c r="D54" s="55"/>
      <c r="E54" s="228"/>
      <c r="F54" s="229"/>
      <c r="G54" s="51"/>
    </row>
    <row r="55" spans="1:7" s="52" customFormat="1" ht="15" thickBot="1" x14ac:dyDescent="0.35">
      <c r="A55" s="56" t="s">
        <v>16</v>
      </c>
      <c r="B55" s="56">
        <v>2</v>
      </c>
      <c r="C55" s="155" t="str">
        <f t="shared" si="7"/>
        <v>0h10min</v>
      </c>
      <c r="D55" s="57"/>
      <c r="E55" s="232"/>
      <c r="F55" s="233"/>
      <c r="G55" s="51"/>
    </row>
    <row r="56" spans="1:7" s="52" customFormat="1" ht="15" thickBot="1" x14ac:dyDescent="0.35">
      <c r="A56" s="111" t="s">
        <v>29</v>
      </c>
      <c r="B56" s="84">
        <f>SUM(B52:B55)</f>
        <v>38</v>
      </c>
      <c r="C56" s="111" t="str">
        <f xml:space="preserve"> setValueToTime(B56)</f>
        <v>3h10min</v>
      </c>
      <c r="D56" s="120"/>
      <c r="E56" s="230"/>
      <c r="F56" s="231"/>
      <c r="G56" s="51"/>
    </row>
    <row r="57" spans="1:7" s="59" customFormat="1" ht="15" thickBot="1" x14ac:dyDescent="0.35">
      <c r="A57" s="79"/>
      <c r="B57" s="79"/>
      <c r="C57" s="79"/>
      <c r="D57" s="79"/>
      <c r="E57" s="79"/>
      <c r="F57" s="79"/>
      <c r="G57" s="58"/>
    </row>
    <row r="58" spans="1:7" s="47" customFormat="1" ht="30" customHeight="1" thickBot="1" x14ac:dyDescent="0.3">
      <c r="A58" s="81" t="s">
        <v>12</v>
      </c>
      <c r="B58" s="163">
        <v>18</v>
      </c>
      <c r="C58" s="163"/>
      <c r="D58" s="82" t="s">
        <v>15</v>
      </c>
      <c r="E58" s="94">
        <v>44343</v>
      </c>
      <c r="F58" s="126" t="s">
        <v>45</v>
      </c>
      <c r="G58" s="46"/>
    </row>
    <row r="59" spans="1:7" s="47" customFormat="1" ht="30" customHeight="1" thickBot="1" x14ac:dyDescent="0.3">
      <c r="A59" s="80" t="s">
        <v>5</v>
      </c>
      <c r="B59" s="150" t="s">
        <v>41</v>
      </c>
      <c r="C59" s="151">
        <v>48</v>
      </c>
      <c r="D59" s="80" t="s">
        <v>13</v>
      </c>
      <c r="E59" s="224" t="s">
        <v>14</v>
      </c>
      <c r="F59" s="225"/>
      <c r="G59" s="46"/>
    </row>
    <row r="60" spans="1:7" s="52" customFormat="1" x14ac:dyDescent="0.3">
      <c r="A60" s="48" t="s">
        <v>112</v>
      </c>
      <c r="B60" s="49">
        <v>34</v>
      </c>
      <c r="C60" s="152" t="str">
        <f xml:space="preserve"> IF(B60="","",setValueToTime(B60))</f>
        <v>2h50min</v>
      </c>
      <c r="D60" s="50"/>
      <c r="E60" s="226"/>
      <c r="F60" s="227"/>
      <c r="G60" s="51"/>
    </row>
    <row r="61" spans="1:7" s="52" customFormat="1" x14ac:dyDescent="0.3">
      <c r="A61" s="54" t="s">
        <v>17</v>
      </c>
      <c r="B61" s="54">
        <v>2</v>
      </c>
      <c r="C61" s="154" t="str">
        <f t="shared" ref="C61:C62" si="8" xml:space="preserve"> IF(B61="","",setValueToTime(B61))</f>
        <v>0h10min</v>
      </c>
      <c r="D61" s="55"/>
      <c r="E61" s="228"/>
      <c r="F61" s="229"/>
      <c r="G61" s="51"/>
    </row>
    <row r="62" spans="1:7" s="52" customFormat="1" ht="15" thickBot="1" x14ac:dyDescent="0.35">
      <c r="A62" s="56" t="s">
        <v>16</v>
      </c>
      <c r="B62" s="56">
        <v>2</v>
      </c>
      <c r="C62" s="155" t="str">
        <f t="shared" si="8"/>
        <v>0h10min</v>
      </c>
      <c r="D62" s="57"/>
      <c r="E62" s="232"/>
      <c r="F62" s="233"/>
      <c r="G62" s="51"/>
    </row>
    <row r="63" spans="1:7" s="52" customFormat="1" ht="15" thickBot="1" x14ac:dyDescent="0.35">
      <c r="A63" s="111" t="s">
        <v>29</v>
      </c>
      <c r="B63" s="84">
        <f>SUM(B60:B62)</f>
        <v>38</v>
      </c>
      <c r="C63" s="111" t="str">
        <f xml:space="preserve"> setValueToTime(B63)</f>
        <v>3h10min</v>
      </c>
      <c r="D63" s="120"/>
      <c r="E63" s="230"/>
      <c r="F63" s="231"/>
      <c r="G63" s="51"/>
    </row>
    <row r="64" spans="1:7" s="59" customFormat="1" ht="15" thickBot="1" x14ac:dyDescent="0.35">
      <c r="A64" s="79"/>
      <c r="B64" s="79"/>
      <c r="C64" s="79"/>
      <c r="D64" s="79"/>
      <c r="E64" s="79"/>
      <c r="F64" s="79"/>
      <c r="G64" s="58"/>
    </row>
    <row r="65" spans="1:7" s="47" customFormat="1" ht="30" customHeight="1" thickBot="1" x14ac:dyDescent="0.3">
      <c r="A65" s="81" t="s">
        <v>12</v>
      </c>
      <c r="B65" s="163">
        <v>17</v>
      </c>
      <c r="C65" s="163"/>
      <c r="D65" s="82" t="s">
        <v>15</v>
      </c>
      <c r="E65" s="94">
        <v>44342</v>
      </c>
      <c r="F65" s="126" t="s">
        <v>44</v>
      </c>
      <c r="G65" s="46"/>
    </row>
    <row r="66" spans="1:7" s="47" customFormat="1" ht="30" customHeight="1" thickBot="1" x14ac:dyDescent="0.3">
      <c r="A66" s="80" t="s">
        <v>5</v>
      </c>
      <c r="B66" s="150" t="s">
        <v>41</v>
      </c>
      <c r="C66" s="151">
        <v>38</v>
      </c>
      <c r="D66" s="80" t="s">
        <v>13</v>
      </c>
      <c r="E66" s="224" t="s">
        <v>14</v>
      </c>
      <c r="F66" s="225"/>
      <c r="G66" s="46"/>
    </row>
    <row r="67" spans="1:7" s="52" customFormat="1" x14ac:dyDescent="0.3">
      <c r="A67" s="48" t="s">
        <v>112</v>
      </c>
      <c r="B67" s="49">
        <v>34</v>
      </c>
      <c r="C67" s="152" t="str">
        <f xml:space="preserve"> IF(B67="","",setValueToTime(B67))</f>
        <v>2h50min</v>
      </c>
      <c r="D67" s="50"/>
      <c r="E67" s="226"/>
      <c r="F67" s="227"/>
      <c r="G67" s="51"/>
    </row>
    <row r="68" spans="1:7" s="52" customFormat="1" x14ac:dyDescent="0.3">
      <c r="A68" s="54" t="s">
        <v>17</v>
      </c>
      <c r="B68" s="54">
        <v>2</v>
      </c>
      <c r="C68" s="154" t="str">
        <f t="shared" ref="C68:C69" si="9" xml:space="preserve"> IF(B68="","",setValueToTime(B68))</f>
        <v>0h10min</v>
      </c>
      <c r="D68" s="55"/>
      <c r="E68" s="228"/>
      <c r="F68" s="229"/>
      <c r="G68" s="51"/>
    </row>
    <row r="69" spans="1:7" s="52" customFormat="1" ht="15" thickBot="1" x14ac:dyDescent="0.35">
      <c r="A69" s="56" t="s">
        <v>16</v>
      </c>
      <c r="B69" s="56">
        <v>2</v>
      </c>
      <c r="C69" s="155" t="str">
        <f t="shared" si="9"/>
        <v>0h10min</v>
      </c>
      <c r="D69" s="57"/>
      <c r="E69" s="232"/>
      <c r="F69" s="233"/>
      <c r="G69" s="51"/>
    </row>
    <row r="70" spans="1:7" s="52" customFormat="1" ht="15" thickBot="1" x14ac:dyDescent="0.35">
      <c r="A70" s="111" t="s">
        <v>29</v>
      </c>
      <c r="B70" s="84">
        <f>SUM(B67:B69)</f>
        <v>38</v>
      </c>
      <c r="C70" s="111" t="str">
        <f xml:space="preserve"> setValueToTime(B70)</f>
        <v>3h10min</v>
      </c>
      <c r="D70" s="120"/>
      <c r="E70" s="230"/>
      <c r="F70" s="231"/>
      <c r="G70" s="51"/>
    </row>
    <row r="71" spans="1:7" s="59" customFormat="1" ht="15" thickBot="1" x14ac:dyDescent="0.35">
      <c r="A71" s="79"/>
      <c r="B71" s="79"/>
      <c r="C71" s="79"/>
      <c r="D71" s="79"/>
      <c r="E71" s="79"/>
      <c r="F71" s="79"/>
      <c r="G71" s="58"/>
    </row>
    <row r="72" spans="1:7" s="47" customFormat="1" ht="30" customHeight="1" thickBot="1" x14ac:dyDescent="0.3">
      <c r="A72" s="81" t="s">
        <v>12</v>
      </c>
      <c r="B72" s="163">
        <v>16</v>
      </c>
      <c r="C72" s="163"/>
      <c r="D72" s="82" t="s">
        <v>15</v>
      </c>
      <c r="E72" s="94">
        <v>44342</v>
      </c>
      <c r="F72" s="126" t="s">
        <v>45</v>
      </c>
      <c r="G72" s="46"/>
    </row>
    <row r="73" spans="1:7" s="47" customFormat="1" ht="30" customHeight="1" thickBot="1" x14ac:dyDescent="0.3">
      <c r="A73" s="80" t="s">
        <v>5</v>
      </c>
      <c r="B73" s="150" t="s">
        <v>41</v>
      </c>
      <c r="C73" s="151">
        <v>48</v>
      </c>
      <c r="D73" s="80" t="s">
        <v>13</v>
      </c>
      <c r="E73" s="224" t="s">
        <v>14</v>
      </c>
      <c r="F73" s="225"/>
      <c r="G73" s="46"/>
    </row>
    <row r="74" spans="1:7" s="52" customFormat="1" x14ac:dyDescent="0.3">
      <c r="A74" s="48" t="s">
        <v>112</v>
      </c>
      <c r="B74" s="49">
        <v>44</v>
      </c>
      <c r="C74" s="152" t="str">
        <f xml:space="preserve"> IF(B74="","",setValueToTime(B74))</f>
        <v>3h40min</v>
      </c>
      <c r="D74" s="50"/>
      <c r="E74" s="226"/>
      <c r="F74" s="227"/>
      <c r="G74" s="51"/>
    </row>
    <row r="75" spans="1:7" s="52" customFormat="1" x14ac:dyDescent="0.3">
      <c r="A75" s="54" t="s">
        <v>17</v>
      </c>
      <c r="B75" s="54">
        <v>2</v>
      </c>
      <c r="C75" s="154" t="str">
        <f t="shared" ref="C75:C76" si="10" xml:space="preserve"> IF(B75="","",setValueToTime(B75))</f>
        <v>0h10min</v>
      </c>
      <c r="D75" s="55"/>
      <c r="E75" s="228"/>
      <c r="F75" s="229"/>
      <c r="G75" s="51"/>
    </row>
    <row r="76" spans="1:7" s="52" customFormat="1" ht="15" thickBot="1" x14ac:dyDescent="0.35">
      <c r="A76" s="56" t="s">
        <v>16</v>
      </c>
      <c r="B76" s="56">
        <v>2</v>
      </c>
      <c r="C76" s="155" t="str">
        <f t="shared" si="10"/>
        <v>0h10min</v>
      </c>
      <c r="D76" s="57"/>
      <c r="E76" s="232"/>
      <c r="F76" s="233"/>
      <c r="G76" s="51"/>
    </row>
    <row r="77" spans="1:7" s="52" customFormat="1" ht="15" thickBot="1" x14ac:dyDescent="0.35">
      <c r="A77" s="111" t="s">
        <v>29</v>
      </c>
      <c r="B77" s="84">
        <f>SUM(B74:B76)</f>
        <v>48</v>
      </c>
      <c r="C77" s="111" t="str">
        <f xml:space="preserve"> setValueToTime(B77)</f>
        <v>4h</v>
      </c>
      <c r="D77" s="120"/>
      <c r="E77" s="230"/>
      <c r="F77" s="231"/>
      <c r="G77" s="51"/>
    </row>
    <row r="78" spans="1:7" s="59" customFormat="1" ht="15" thickBot="1" x14ac:dyDescent="0.35">
      <c r="A78" s="79"/>
      <c r="B78" s="79"/>
      <c r="C78" s="79"/>
      <c r="D78" s="79"/>
      <c r="E78" s="79"/>
      <c r="F78" s="79"/>
      <c r="G78" s="58"/>
    </row>
    <row r="79" spans="1:7" s="47" customFormat="1" ht="30" customHeight="1" thickBot="1" x14ac:dyDescent="0.3">
      <c r="A79" s="81" t="s">
        <v>12</v>
      </c>
      <c r="B79" s="163">
        <v>15</v>
      </c>
      <c r="C79" s="163"/>
      <c r="D79" s="82" t="s">
        <v>15</v>
      </c>
      <c r="E79" s="94">
        <v>44337</v>
      </c>
      <c r="F79" s="126" t="s">
        <v>44</v>
      </c>
      <c r="G79" s="46"/>
    </row>
    <row r="80" spans="1:7" s="47" customFormat="1" ht="30" customHeight="1" thickBot="1" x14ac:dyDescent="0.3">
      <c r="A80" s="80" t="s">
        <v>5</v>
      </c>
      <c r="B80" s="150" t="s">
        <v>41</v>
      </c>
      <c r="C80" s="151">
        <v>38</v>
      </c>
      <c r="D80" s="80" t="s">
        <v>13</v>
      </c>
      <c r="E80" s="224" t="s">
        <v>14</v>
      </c>
      <c r="F80" s="225"/>
      <c r="G80" s="46"/>
    </row>
    <row r="81" spans="1:7" s="52" customFormat="1" x14ac:dyDescent="0.3">
      <c r="A81" s="48" t="s">
        <v>112</v>
      </c>
      <c r="B81" s="49">
        <v>34</v>
      </c>
      <c r="C81" s="152" t="str">
        <f xml:space="preserve"> IF(B81="","",setValueToTime(B81))</f>
        <v>2h50min</v>
      </c>
      <c r="D81" s="50"/>
      <c r="E81" s="226"/>
      <c r="F81" s="227"/>
      <c r="G81" s="51"/>
    </row>
    <row r="82" spans="1:7" s="52" customFormat="1" x14ac:dyDescent="0.3">
      <c r="A82" s="54" t="s">
        <v>17</v>
      </c>
      <c r="B82" s="54">
        <v>2</v>
      </c>
      <c r="C82" s="154" t="str">
        <f t="shared" ref="C82:C83" si="11" xml:space="preserve"> IF(B82="","",setValueToTime(B82))</f>
        <v>0h10min</v>
      </c>
      <c r="D82" s="55"/>
      <c r="E82" s="228"/>
      <c r="F82" s="229"/>
      <c r="G82" s="51"/>
    </row>
    <row r="83" spans="1:7" s="52" customFormat="1" ht="15" thickBot="1" x14ac:dyDescent="0.35">
      <c r="A83" s="56" t="s">
        <v>16</v>
      </c>
      <c r="B83" s="56">
        <v>2</v>
      </c>
      <c r="C83" s="155" t="str">
        <f t="shared" si="11"/>
        <v>0h10min</v>
      </c>
      <c r="D83" s="57"/>
      <c r="E83" s="232"/>
      <c r="F83" s="233"/>
      <c r="G83" s="51"/>
    </row>
    <row r="84" spans="1:7" s="52" customFormat="1" ht="15" thickBot="1" x14ac:dyDescent="0.35">
      <c r="A84" s="111" t="s">
        <v>29</v>
      </c>
      <c r="B84" s="84">
        <f>SUM(B81:B83)</f>
        <v>38</v>
      </c>
      <c r="C84" s="111" t="str">
        <f xml:space="preserve"> setValueToTime(B84)</f>
        <v>3h10min</v>
      </c>
      <c r="D84" s="120"/>
      <c r="E84" s="230"/>
      <c r="F84" s="231"/>
      <c r="G84" s="51"/>
    </row>
    <row r="85" spans="1:7" s="59" customFormat="1" ht="15" thickBot="1" x14ac:dyDescent="0.35">
      <c r="A85" s="79"/>
      <c r="B85" s="79"/>
      <c r="C85" s="79"/>
      <c r="D85" s="79"/>
      <c r="E85" s="79"/>
      <c r="F85" s="79"/>
      <c r="G85" s="58"/>
    </row>
    <row r="86" spans="1:7" s="47" customFormat="1" ht="30" customHeight="1" thickBot="1" x14ac:dyDescent="0.3">
      <c r="A86" s="81" t="s">
        <v>12</v>
      </c>
      <c r="B86" s="163">
        <v>14</v>
      </c>
      <c r="C86" s="163"/>
      <c r="D86" s="82" t="s">
        <v>15</v>
      </c>
      <c r="E86" s="94">
        <v>44337</v>
      </c>
      <c r="F86" s="126" t="s">
        <v>45</v>
      </c>
      <c r="G86" s="46"/>
    </row>
    <row r="87" spans="1:7" s="47" customFormat="1" ht="30" customHeight="1" thickBot="1" x14ac:dyDescent="0.3">
      <c r="A87" s="80" t="s">
        <v>5</v>
      </c>
      <c r="B87" s="150" t="s">
        <v>41</v>
      </c>
      <c r="C87" s="151">
        <v>38</v>
      </c>
      <c r="D87" s="80" t="s">
        <v>13</v>
      </c>
      <c r="E87" s="224" t="s">
        <v>14</v>
      </c>
      <c r="F87" s="225"/>
      <c r="G87" s="46"/>
    </row>
    <row r="88" spans="1:7" s="52" customFormat="1" x14ac:dyDescent="0.3">
      <c r="A88" s="48" t="s">
        <v>112</v>
      </c>
      <c r="B88" s="49">
        <v>34</v>
      </c>
      <c r="C88" s="152" t="str">
        <f xml:space="preserve"> IF(B88="","",setValueToTime(B88))</f>
        <v>2h50min</v>
      </c>
      <c r="D88" s="50"/>
      <c r="E88" s="226"/>
      <c r="F88" s="227"/>
      <c r="G88" s="51"/>
    </row>
    <row r="89" spans="1:7" s="52" customFormat="1" x14ac:dyDescent="0.3">
      <c r="A89" s="54" t="s">
        <v>17</v>
      </c>
      <c r="B89" s="54">
        <v>2</v>
      </c>
      <c r="C89" s="154" t="str">
        <f t="shared" ref="C89:C90" si="12" xml:space="preserve"> IF(B89="","",setValueToTime(B89))</f>
        <v>0h10min</v>
      </c>
      <c r="D89" s="55"/>
      <c r="E89" s="228"/>
      <c r="F89" s="229"/>
      <c r="G89" s="51"/>
    </row>
    <row r="90" spans="1:7" s="52" customFormat="1" ht="15" thickBot="1" x14ac:dyDescent="0.35">
      <c r="A90" s="56" t="s">
        <v>16</v>
      </c>
      <c r="B90" s="56">
        <v>2</v>
      </c>
      <c r="C90" s="155" t="str">
        <f t="shared" si="12"/>
        <v>0h10min</v>
      </c>
      <c r="D90" s="57"/>
      <c r="E90" s="232"/>
      <c r="F90" s="233"/>
      <c r="G90" s="51"/>
    </row>
    <row r="91" spans="1:7" s="52" customFormat="1" ht="15" thickBot="1" x14ac:dyDescent="0.35">
      <c r="A91" s="111" t="s">
        <v>29</v>
      </c>
      <c r="B91" s="84">
        <f>SUM(B88:B90)</f>
        <v>38</v>
      </c>
      <c r="C91" s="111" t="str">
        <f xml:space="preserve"> setValueToTime(B91)</f>
        <v>3h10min</v>
      </c>
      <c r="D91" s="120"/>
      <c r="E91" s="230"/>
      <c r="F91" s="231"/>
      <c r="G91" s="51"/>
    </row>
    <row r="92" spans="1:7" s="59" customFormat="1" ht="15" thickBot="1" x14ac:dyDescent="0.35">
      <c r="A92" s="79"/>
      <c r="B92" s="79"/>
      <c r="C92" s="79"/>
      <c r="D92" s="79"/>
      <c r="E92" s="79"/>
      <c r="F92" s="79"/>
      <c r="G92" s="58"/>
    </row>
    <row r="93" spans="1:7" s="47" customFormat="1" ht="30" customHeight="1" thickBot="1" x14ac:dyDescent="0.3">
      <c r="A93" s="81" t="s">
        <v>12</v>
      </c>
      <c r="B93" s="163">
        <v>13</v>
      </c>
      <c r="C93" s="163"/>
      <c r="D93" s="82" t="s">
        <v>15</v>
      </c>
      <c r="E93" s="94">
        <v>44336</v>
      </c>
      <c r="F93" s="126" t="s">
        <v>44</v>
      </c>
      <c r="G93" s="46"/>
    </row>
    <row r="94" spans="1:7" s="47" customFormat="1" ht="30" customHeight="1" thickBot="1" x14ac:dyDescent="0.3">
      <c r="A94" s="80" t="s">
        <v>5</v>
      </c>
      <c r="B94" s="150" t="s">
        <v>41</v>
      </c>
      <c r="C94" s="151">
        <v>38</v>
      </c>
      <c r="D94" s="80" t="s">
        <v>13</v>
      </c>
      <c r="E94" s="224" t="s">
        <v>14</v>
      </c>
      <c r="F94" s="225"/>
      <c r="G94" s="46"/>
    </row>
    <row r="95" spans="1:7" s="52" customFormat="1" ht="27" x14ac:dyDescent="0.3">
      <c r="A95" s="48" t="s">
        <v>97</v>
      </c>
      <c r="B95" s="49">
        <v>34</v>
      </c>
      <c r="C95" s="152" t="str">
        <f xml:space="preserve"> IF(B95="","",setValueToTime(B95))</f>
        <v>2h50min</v>
      </c>
      <c r="D95" s="50"/>
      <c r="E95" s="226"/>
      <c r="F95" s="227"/>
      <c r="G95" s="51"/>
    </row>
    <row r="96" spans="1:7" s="52" customFormat="1" x14ac:dyDescent="0.3">
      <c r="A96" s="54" t="s">
        <v>17</v>
      </c>
      <c r="B96" s="54">
        <v>2</v>
      </c>
      <c r="C96" s="154" t="str">
        <f t="shared" ref="C96:C97" si="13" xml:space="preserve"> IF(B96="","",setValueToTime(B96))</f>
        <v>0h10min</v>
      </c>
      <c r="D96" s="55"/>
      <c r="E96" s="228"/>
      <c r="F96" s="229"/>
      <c r="G96" s="51"/>
    </row>
    <row r="97" spans="1:7" s="52" customFormat="1" ht="15" thickBot="1" x14ac:dyDescent="0.35">
      <c r="A97" s="56" t="s">
        <v>16</v>
      </c>
      <c r="B97" s="56">
        <v>2</v>
      </c>
      <c r="C97" s="155" t="str">
        <f t="shared" si="13"/>
        <v>0h10min</v>
      </c>
      <c r="D97" s="57"/>
      <c r="E97" s="232"/>
      <c r="F97" s="233"/>
      <c r="G97" s="51"/>
    </row>
    <row r="98" spans="1:7" s="52" customFormat="1" ht="15" thickBot="1" x14ac:dyDescent="0.35">
      <c r="A98" s="111" t="s">
        <v>29</v>
      </c>
      <c r="B98" s="84">
        <f>SUM(B95:B97)</f>
        <v>38</v>
      </c>
      <c r="C98" s="111" t="str">
        <f xml:space="preserve"> setValueToTime(B98)</f>
        <v>3h10min</v>
      </c>
      <c r="D98" s="120"/>
      <c r="E98" s="230"/>
      <c r="F98" s="231"/>
      <c r="G98" s="51"/>
    </row>
    <row r="99" spans="1:7" s="59" customFormat="1" ht="15" thickBot="1" x14ac:dyDescent="0.35">
      <c r="A99" s="79"/>
      <c r="B99" s="79"/>
      <c r="C99" s="79"/>
      <c r="D99" s="79"/>
      <c r="E99" s="79"/>
      <c r="F99" s="79"/>
      <c r="G99" s="58"/>
    </row>
    <row r="100" spans="1:7" s="47" customFormat="1" ht="30" customHeight="1" thickBot="1" x14ac:dyDescent="0.3">
      <c r="A100" s="81" t="s">
        <v>12</v>
      </c>
      <c r="B100" s="163">
        <v>12</v>
      </c>
      <c r="C100" s="163"/>
      <c r="D100" s="82" t="s">
        <v>15</v>
      </c>
      <c r="E100" s="94">
        <v>44336</v>
      </c>
      <c r="F100" s="126" t="s">
        <v>45</v>
      </c>
      <c r="G100" s="46"/>
    </row>
    <row r="101" spans="1:7" s="47" customFormat="1" ht="30" customHeight="1" thickBot="1" x14ac:dyDescent="0.3">
      <c r="A101" s="80" t="s">
        <v>5</v>
      </c>
      <c r="B101" s="150" t="s">
        <v>41</v>
      </c>
      <c r="C101" s="151">
        <v>48</v>
      </c>
      <c r="D101" s="80" t="s">
        <v>13</v>
      </c>
      <c r="E101" s="224" t="s">
        <v>14</v>
      </c>
      <c r="F101" s="225"/>
      <c r="G101" s="46"/>
    </row>
    <row r="102" spans="1:7" s="52" customFormat="1" ht="27" x14ac:dyDescent="0.3">
      <c r="A102" s="48" t="s">
        <v>97</v>
      </c>
      <c r="B102" s="49">
        <v>44</v>
      </c>
      <c r="C102" s="152" t="str">
        <f xml:space="preserve"> IF(B102="","",setValueToTime(B102))</f>
        <v>3h40min</v>
      </c>
      <c r="D102" s="50"/>
      <c r="E102" s="226"/>
      <c r="F102" s="227"/>
      <c r="G102" s="51"/>
    </row>
    <row r="103" spans="1:7" s="52" customFormat="1" x14ac:dyDescent="0.3">
      <c r="A103" s="54" t="s">
        <v>17</v>
      </c>
      <c r="B103" s="54">
        <v>2</v>
      </c>
      <c r="C103" s="154" t="str">
        <f t="shared" ref="C103:C104" si="14" xml:space="preserve"> IF(B103="","",setValueToTime(B103))</f>
        <v>0h10min</v>
      </c>
      <c r="D103" s="55"/>
      <c r="E103" s="228"/>
      <c r="F103" s="229"/>
      <c r="G103" s="51"/>
    </row>
    <row r="104" spans="1:7" s="52" customFormat="1" ht="15" thickBot="1" x14ac:dyDescent="0.35">
      <c r="A104" s="56" t="s">
        <v>16</v>
      </c>
      <c r="B104" s="56">
        <v>2</v>
      </c>
      <c r="C104" s="155" t="str">
        <f t="shared" si="14"/>
        <v>0h10min</v>
      </c>
      <c r="D104" s="57"/>
      <c r="E104" s="232"/>
      <c r="F104" s="233"/>
      <c r="G104" s="51"/>
    </row>
    <row r="105" spans="1:7" s="52" customFormat="1" ht="15" thickBot="1" x14ac:dyDescent="0.35">
      <c r="A105" s="111" t="s">
        <v>29</v>
      </c>
      <c r="B105" s="84">
        <f>SUM(B102:B104)</f>
        <v>48</v>
      </c>
      <c r="C105" s="111" t="str">
        <f xml:space="preserve"> setValueToTime(B105)</f>
        <v>4h</v>
      </c>
      <c r="D105" s="120"/>
      <c r="E105" s="230"/>
      <c r="F105" s="231"/>
      <c r="G105" s="51"/>
    </row>
    <row r="106" spans="1:7" s="59" customFormat="1" ht="15" thickBot="1" x14ac:dyDescent="0.35">
      <c r="A106" s="79"/>
      <c r="B106" s="79"/>
      <c r="C106" s="79"/>
      <c r="D106" s="79"/>
      <c r="E106" s="79"/>
      <c r="F106" s="79"/>
      <c r="G106" s="58"/>
    </row>
    <row r="107" spans="1:7" s="47" customFormat="1" ht="30" customHeight="1" thickBot="1" x14ac:dyDescent="0.3">
      <c r="A107" s="81" t="s">
        <v>12</v>
      </c>
      <c r="B107" s="163">
        <v>11</v>
      </c>
      <c r="C107" s="163"/>
      <c r="D107" s="82" t="s">
        <v>15</v>
      </c>
      <c r="E107" s="94">
        <v>44335</v>
      </c>
      <c r="F107" s="126" t="s">
        <v>44</v>
      </c>
      <c r="G107" s="46"/>
    </row>
    <row r="108" spans="1:7" s="47" customFormat="1" ht="30" customHeight="1" thickBot="1" x14ac:dyDescent="0.3">
      <c r="A108" s="80" t="s">
        <v>5</v>
      </c>
      <c r="B108" s="150" t="s">
        <v>41</v>
      </c>
      <c r="C108" s="151">
        <v>38</v>
      </c>
      <c r="D108" s="80" t="s">
        <v>13</v>
      </c>
      <c r="E108" s="224" t="s">
        <v>14</v>
      </c>
      <c r="F108" s="225"/>
      <c r="G108" s="46"/>
    </row>
    <row r="109" spans="1:7" s="52" customFormat="1" ht="40.5" x14ac:dyDescent="0.3">
      <c r="A109" s="48" t="s">
        <v>96</v>
      </c>
      <c r="B109" s="49">
        <v>20</v>
      </c>
      <c r="C109" s="152" t="str">
        <f xml:space="preserve"> IF(B109="","",setValueToTime(B109))</f>
        <v>1h40min</v>
      </c>
      <c r="D109" s="50"/>
      <c r="E109" s="226"/>
      <c r="F109" s="227"/>
      <c r="G109" s="51"/>
    </row>
    <row r="110" spans="1:7" s="52" customFormat="1" ht="27" x14ac:dyDescent="0.3">
      <c r="A110" s="53" t="s">
        <v>97</v>
      </c>
      <c r="B110" s="54">
        <v>14</v>
      </c>
      <c r="C110" s="153" t="str">
        <f t="shared" ref="C110:C112" si="15" xml:space="preserve"> IF(B110="","",setValueToTime(B110))</f>
        <v>1h10min</v>
      </c>
      <c r="D110" s="55"/>
      <c r="E110" s="228"/>
      <c r="F110" s="229"/>
      <c r="G110" s="51"/>
    </row>
    <row r="111" spans="1:7" s="52" customFormat="1" x14ac:dyDescent="0.3">
      <c r="A111" s="54" t="s">
        <v>17</v>
      </c>
      <c r="B111" s="54">
        <v>2</v>
      </c>
      <c r="C111" s="154" t="str">
        <f t="shared" si="15"/>
        <v>0h10min</v>
      </c>
      <c r="D111" s="55"/>
      <c r="E111" s="228"/>
      <c r="F111" s="229"/>
      <c r="G111" s="51"/>
    </row>
    <row r="112" spans="1:7" s="52" customFormat="1" ht="15" thickBot="1" x14ac:dyDescent="0.35">
      <c r="A112" s="56" t="s">
        <v>16</v>
      </c>
      <c r="B112" s="56">
        <v>2</v>
      </c>
      <c r="C112" s="155" t="str">
        <f t="shared" si="15"/>
        <v>0h10min</v>
      </c>
      <c r="D112" s="57"/>
      <c r="E112" s="232"/>
      <c r="F112" s="233"/>
      <c r="G112" s="51"/>
    </row>
    <row r="113" spans="1:7" s="52" customFormat="1" ht="15" thickBot="1" x14ac:dyDescent="0.35">
      <c r="A113" s="111" t="s">
        <v>29</v>
      </c>
      <c r="B113" s="84">
        <f>SUM(B109:B112)</f>
        <v>38</v>
      </c>
      <c r="C113" s="111" t="str">
        <f xml:space="preserve"> setValueToTime(B113)</f>
        <v>3h10min</v>
      </c>
      <c r="D113" s="120"/>
      <c r="E113" s="230"/>
      <c r="F113" s="231"/>
      <c r="G113" s="51"/>
    </row>
    <row r="114" spans="1:7" s="59" customFormat="1" ht="15" thickBot="1" x14ac:dyDescent="0.35">
      <c r="A114" s="79"/>
      <c r="B114" s="79"/>
      <c r="C114" s="79"/>
      <c r="D114" s="79"/>
      <c r="E114" s="79"/>
      <c r="F114" s="79"/>
      <c r="G114" s="58"/>
    </row>
    <row r="115" spans="1:7" s="47" customFormat="1" ht="30" customHeight="1" thickBot="1" x14ac:dyDescent="0.3">
      <c r="A115" s="81" t="s">
        <v>12</v>
      </c>
      <c r="B115" s="163">
        <v>10</v>
      </c>
      <c r="C115" s="163"/>
      <c r="D115" s="82" t="s">
        <v>15</v>
      </c>
      <c r="E115" s="94">
        <v>44335</v>
      </c>
      <c r="F115" s="126" t="s">
        <v>45</v>
      </c>
      <c r="G115" s="46"/>
    </row>
    <row r="116" spans="1:7" s="47" customFormat="1" ht="30" customHeight="1" thickBot="1" x14ac:dyDescent="0.3">
      <c r="A116" s="80" t="s">
        <v>5</v>
      </c>
      <c r="B116" s="150" t="s">
        <v>41</v>
      </c>
      <c r="C116" s="151">
        <v>48</v>
      </c>
      <c r="D116" s="80" t="s">
        <v>13</v>
      </c>
      <c r="E116" s="224" t="s">
        <v>14</v>
      </c>
      <c r="F116" s="225"/>
      <c r="G116" s="46"/>
    </row>
    <row r="117" spans="1:7" s="52" customFormat="1" ht="40.5" x14ac:dyDescent="0.3">
      <c r="A117" s="48" t="s">
        <v>96</v>
      </c>
      <c r="B117" s="49">
        <v>44</v>
      </c>
      <c r="C117" s="152" t="str">
        <f xml:space="preserve"> IF(B117="","",setValueToTime(B117))</f>
        <v>3h40min</v>
      </c>
      <c r="D117" s="50"/>
      <c r="E117" s="226"/>
      <c r="F117" s="227"/>
      <c r="G117" s="51"/>
    </row>
    <row r="118" spans="1:7" s="52" customFormat="1" x14ac:dyDescent="0.3">
      <c r="A118" s="54" t="s">
        <v>17</v>
      </c>
      <c r="B118" s="54">
        <v>2</v>
      </c>
      <c r="C118" s="154" t="str">
        <f t="shared" ref="C118:C119" si="16" xml:space="preserve"> IF(B118="","",setValueToTime(B118))</f>
        <v>0h10min</v>
      </c>
      <c r="D118" s="55"/>
      <c r="E118" s="228"/>
      <c r="F118" s="229"/>
      <c r="G118" s="51"/>
    </row>
    <row r="119" spans="1:7" s="52" customFormat="1" ht="15" thickBot="1" x14ac:dyDescent="0.35">
      <c r="A119" s="56" t="s">
        <v>16</v>
      </c>
      <c r="B119" s="56">
        <v>2</v>
      </c>
      <c r="C119" s="155" t="str">
        <f t="shared" si="16"/>
        <v>0h10min</v>
      </c>
      <c r="D119" s="57"/>
      <c r="E119" s="232"/>
      <c r="F119" s="233"/>
      <c r="G119" s="51"/>
    </row>
    <row r="120" spans="1:7" s="52" customFormat="1" ht="15" thickBot="1" x14ac:dyDescent="0.35">
      <c r="A120" s="111" t="s">
        <v>29</v>
      </c>
      <c r="B120" s="84">
        <f>SUM(B117:B119)</f>
        <v>48</v>
      </c>
      <c r="C120" s="111" t="str">
        <f xml:space="preserve"> setValueToTime(B120)</f>
        <v>4h</v>
      </c>
      <c r="D120" s="120"/>
      <c r="E120" s="230"/>
      <c r="F120" s="231"/>
      <c r="G120" s="51"/>
    </row>
    <row r="121" spans="1:7" s="59" customFormat="1" ht="15" thickBot="1" x14ac:dyDescent="0.35">
      <c r="A121" s="79"/>
      <c r="B121" s="79"/>
      <c r="C121" s="79"/>
      <c r="D121" s="79"/>
      <c r="E121" s="79"/>
      <c r="F121" s="79"/>
      <c r="G121" s="58"/>
    </row>
    <row r="122" spans="1:7" s="47" customFormat="1" ht="30" customHeight="1" thickBot="1" x14ac:dyDescent="0.3">
      <c r="A122" s="81" t="s">
        <v>12</v>
      </c>
      <c r="B122" s="163">
        <v>9</v>
      </c>
      <c r="C122" s="163"/>
      <c r="D122" s="82" t="s">
        <v>15</v>
      </c>
      <c r="E122" s="94">
        <v>44333</v>
      </c>
      <c r="F122" s="126" t="s">
        <v>45</v>
      </c>
      <c r="G122" s="46"/>
    </row>
    <row r="123" spans="1:7" s="47" customFormat="1" ht="30" customHeight="1" thickBot="1" x14ac:dyDescent="0.3">
      <c r="A123" s="80" t="s">
        <v>5</v>
      </c>
      <c r="B123" s="150" t="s">
        <v>41</v>
      </c>
      <c r="C123" s="151">
        <v>38</v>
      </c>
      <c r="D123" s="80" t="s">
        <v>13</v>
      </c>
      <c r="E123" s="224" t="s">
        <v>14</v>
      </c>
      <c r="F123" s="225"/>
      <c r="G123" s="46"/>
    </row>
    <row r="124" spans="1:7" s="52" customFormat="1" ht="40.5" x14ac:dyDescent="0.3">
      <c r="A124" s="48" t="s">
        <v>96</v>
      </c>
      <c r="B124" s="49">
        <v>34</v>
      </c>
      <c r="C124" s="152" t="str">
        <f xml:space="preserve"> IF(B124="","",setValueToTime(B124))</f>
        <v>2h50min</v>
      </c>
      <c r="D124" s="50"/>
      <c r="E124" s="226"/>
      <c r="F124" s="227"/>
      <c r="G124" s="51"/>
    </row>
    <row r="125" spans="1:7" s="52" customFormat="1" x14ac:dyDescent="0.3">
      <c r="A125" s="54" t="s">
        <v>17</v>
      </c>
      <c r="B125" s="54">
        <v>2</v>
      </c>
      <c r="C125" s="154" t="str">
        <f t="shared" ref="C125:C126" si="17" xml:space="preserve"> IF(B125="","",setValueToTime(B125))</f>
        <v>0h10min</v>
      </c>
      <c r="D125" s="55"/>
      <c r="E125" s="228"/>
      <c r="F125" s="229"/>
      <c r="G125" s="51"/>
    </row>
    <row r="126" spans="1:7" s="52" customFormat="1" ht="15" thickBot="1" x14ac:dyDescent="0.35">
      <c r="A126" s="56" t="s">
        <v>16</v>
      </c>
      <c r="B126" s="56">
        <v>2</v>
      </c>
      <c r="C126" s="155" t="str">
        <f t="shared" si="17"/>
        <v>0h10min</v>
      </c>
      <c r="D126" s="57"/>
      <c r="E126" s="232"/>
      <c r="F126" s="233"/>
      <c r="G126" s="51"/>
    </row>
    <row r="127" spans="1:7" s="52" customFormat="1" ht="15" thickBot="1" x14ac:dyDescent="0.35">
      <c r="A127" s="111" t="s">
        <v>29</v>
      </c>
      <c r="B127" s="84">
        <f>SUM(B124:B126)</f>
        <v>38</v>
      </c>
      <c r="C127" s="111" t="str">
        <f xml:space="preserve"> setValueToTime(B127)</f>
        <v>3h10min</v>
      </c>
      <c r="D127" s="120"/>
      <c r="E127" s="230"/>
      <c r="F127" s="231"/>
      <c r="G127" s="51"/>
    </row>
    <row r="128" spans="1:7" s="59" customFormat="1" ht="15" thickBot="1" x14ac:dyDescent="0.35">
      <c r="A128" s="79"/>
      <c r="B128" s="79"/>
      <c r="C128" s="79"/>
      <c r="D128" s="79"/>
      <c r="E128" s="79"/>
      <c r="F128" s="79"/>
      <c r="G128" s="58"/>
    </row>
    <row r="129" spans="1:7" s="47" customFormat="1" ht="30" customHeight="1" thickBot="1" x14ac:dyDescent="0.3">
      <c r="A129" s="81" t="s">
        <v>12</v>
      </c>
      <c r="B129" s="163">
        <v>8</v>
      </c>
      <c r="C129" s="163"/>
      <c r="D129" s="82" t="s">
        <v>15</v>
      </c>
      <c r="E129" s="94">
        <v>44328</v>
      </c>
      <c r="F129" s="126" t="s">
        <v>44</v>
      </c>
      <c r="G129" s="46"/>
    </row>
    <row r="130" spans="1:7" s="47" customFormat="1" ht="30" customHeight="1" thickBot="1" x14ac:dyDescent="0.3">
      <c r="A130" s="80" t="s">
        <v>5</v>
      </c>
      <c r="B130" s="150" t="s">
        <v>41</v>
      </c>
      <c r="C130" s="151">
        <v>38</v>
      </c>
      <c r="D130" s="80" t="s">
        <v>13</v>
      </c>
      <c r="E130" s="224" t="s">
        <v>14</v>
      </c>
      <c r="F130" s="225"/>
      <c r="G130" s="46"/>
    </row>
    <row r="131" spans="1:7" s="52" customFormat="1" ht="27" x14ac:dyDescent="0.3">
      <c r="A131" s="48" t="s">
        <v>95</v>
      </c>
      <c r="B131" s="49">
        <v>34</v>
      </c>
      <c r="C131" s="152" t="str">
        <f xml:space="preserve"> IF(B131="","",setValueToTime(B131))</f>
        <v>2h50min</v>
      </c>
      <c r="D131" s="50"/>
      <c r="E131" s="226"/>
      <c r="F131" s="227"/>
      <c r="G131" s="51"/>
    </row>
    <row r="132" spans="1:7" s="52" customFormat="1" x14ac:dyDescent="0.3">
      <c r="A132" s="54" t="s">
        <v>17</v>
      </c>
      <c r="B132" s="54">
        <v>2</v>
      </c>
      <c r="C132" s="154" t="str">
        <f t="shared" ref="C132:C133" si="18" xml:space="preserve"> IF(B132="","",setValueToTime(B132))</f>
        <v>0h10min</v>
      </c>
      <c r="D132" s="55"/>
      <c r="E132" s="228"/>
      <c r="F132" s="229"/>
      <c r="G132" s="51"/>
    </row>
    <row r="133" spans="1:7" s="52" customFormat="1" ht="15" thickBot="1" x14ac:dyDescent="0.35">
      <c r="A133" s="56" t="s">
        <v>16</v>
      </c>
      <c r="B133" s="56">
        <v>2</v>
      </c>
      <c r="C133" s="155" t="str">
        <f t="shared" si="18"/>
        <v>0h10min</v>
      </c>
      <c r="D133" s="57"/>
      <c r="E133" s="232"/>
      <c r="F133" s="233"/>
      <c r="G133" s="51"/>
    </row>
    <row r="134" spans="1:7" s="52" customFormat="1" ht="15" thickBot="1" x14ac:dyDescent="0.35">
      <c r="A134" s="111" t="s">
        <v>29</v>
      </c>
      <c r="B134" s="84">
        <f>SUM(B131:B133)</f>
        <v>38</v>
      </c>
      <c r="C134" s="111" t="str">
        <f xml:space="preserve"> setValueToTime(B134)</f>
        <v>3h10min</v>
      </c>
      <c r="D134" s="120"/>
      <c r="E134" s="230"/>
      <c r="F134" s="231"/>
      <c r="G134" s="51"/>
    </row>
    <row r="135" spans="1:7" s="59" customFormat="1" ht="15" thickBot="1" x14ac:dyDescent="0.35">
      <c r="A135" s="79"/>
      <c r="B135" s="79"/>
      <c r="C135" s="79"/>
      <c r="D135" s="79"/>
      <c r="E135" s="79"/>
      <c r="F135" s="79"/>
      <c r="G135" s="58"/>
    </row>
    <row r="136" spans="1:7" s="47" customFormat="1" ht="30" customHeight="1" thickBot="1" x14ac:dyDescent="0.3">
      <c r="A136" s="81" t="s">
        <v>12</v>
      </c>
      <c r="B136" s="163">
        <v>7</v>
      </c>
      <c r="C136" s="163"/>
      <c r="D136" s="82" t="s">
        <v>15</v>
      </c>
      <c r="E136" s="94">
        <v>44328</v>
      </c>
      <c r="F136" s="126" t="s">
        <v>45</v>
      </c>
      <c r="G136" s="46"/>
    </row>
    <row r="137" spans="1:7" s="47" customFormat="1" ht="30" customHeight="1" thickBot="1" x14ac:dyDescent="0.3">
      <c r="A137" s="80" t="s">
        <v>5</v>
      </c>
      <c r="B137" s="150" t="s">
        <v>41</v>
      </c>
      <c r="C137" s="151">
        <v>48</v>
      </c>
      <c r="D137" s="80" t="s">
        <v>13</v>
      </c>
      <c r="E137" s="224" t="s">
        <v>14</v>
      </c>
      <c r="F137" s="225"/>
      <c r="G137" s="46"/>
    </row>
    <row r="138" spans="1:7" s="52" customFormat="1" ht="27" x14ac:dyDescent="0.3">
      <c r="A138" s="48" t="s">
        <v>95</v>
      </c>
      <c r="B138" s="49">
        <v>44</v>
      </c>
      <c r="C138" s="152" t="str">
        <f xml:space="preserve"> IF(B138="","",setValueToTime(B138))</f>
        <v>3h40min</v>
      </c>
      <c r="D138" s="50"/>
      <c r="E138" s="226"/>
      <c r="F138" s="227"/>
      <c r="G138" s="51"/>
    </row>
    <row r="139" spans="1:7" s="52" customFormat="1" x14ac:dyDescent="0.3">
      <c r="A139" s="54" t="s">
        <v>17</v>
      </c>
      <c r="B139" s="54">
        <v>2</v>
      </c>
      <c r="C139" s="154" t="str">
        <f t="shared" ref="C139:C140" si="19" xml:space="preserve"> IF(B139="","",setValueToTime(B139))</f>
        <v>0h10min</v>
      </c>
      <c r="D139" s="55"/>
      <c r="E139" s="228"/>
      <c r="F139" s="229"/>
      <c r="G139" s="51"/>
    </row>
    <row r="140" spans="1:7" s="52" customFormat="1" ht="15" thickBot="1" x14ac:dyDescent="0.35">
      <c r="A140" s="56" t="s">
        <v>16</v>
      </c>
      <c r="B140" s="56">
        <v>2</v>
      </c>
      <c r="C140" s="155" t="str">
        <f t="shared" si="19"/>
        <v>0h10min</v>
      </c>
      <c r="D140" s="57"/>
      <c r="E140" s="232"/>
      <c r="F140" s="233"/>
      <c r="G140" s="51"/>
    </row>
    <row r="141" spans="1:7" s="52" customFormat="1" ht="15" thickBot="1" x14ac:dyDescent="0.35">
      <c r="A141" s="111" t="s">
        <v>29</v>
      </c>
      <c r="B141" s="84">
        <f>SUM(B138:B140)</f>
        <v>48</v>
      </c>
      <c r="C141" s="111" t="str">
        <f xml:space="preserve"> setValueToTime(B141)</f>
        <v>4h</v>
      </c>
      <c r="D141" s="120"/>
      <c r="E141" s="230"/>
      <c r="F141" s="231"/>
      <c r="G141" s="51"/>
    </row>
    <row r="142" spans="1:7" s="59" customFormat="1" ht="15" thickBot="1" x14ac:dyDescent="0.35">
      <c r="A142" s="79"/>
      <c r="B142" s="79"/>
      <c r="C142" s="79"/>
      <c r="D142" s="79"/>
      <c r="E142" s="79"/>
      <c r="F142" s="79"/>
      <c r="G142" s="58"/>
    </row>
    <row r="143" spans="1:7" s="47" customFormat="1" ht="30" customHeight="1" thickBot="1" x14ac:dyDescent="0.3">
      <c r="A143" s="81" t="s">
        <v>12</v>
      </c>
      <c r="B143" s="163">
        <v>6</v>
      </c>
      <c r="C143" s="163"/>
      <c r="D143" s="82" t="s">
        <v>15</v>
      </c>
      <c r="E143" s="94">
        <v>44326</v>
      </c>
      <c r="F143" s="126" t="s">
        <v>45</v>
      </c>
      <c r="G143" s="46"/>
    </row>
    <row r="144" spans="1:7" s="47" customFormat="1" ht="30" customHeight="1" thickBot="1" x14ac:dyDescent="0.3">
      <c r="A144" s="80" t="s">
        <v>5</v>
      </c>
      <c r="B144" s="150" t="s">
        <v>41</v>
      </c>
      <c r="C144" s="151">
        <v>38</v>
      </c>
      <c r="D144" s="80" t="s">
        <v>13</v>
      </c>
      <c r="E144" s="224" t="s">
        <v>14</v>
      </c>
      <c r="F144" s="225"/>
      <c r="G144" s="46"/>
    </row>
    <row r="145" spans="1:7" s="52" customFormat="1" ht="27" x14ac:dyDescent="0.3">
      <c r="A145" s="48" t="s">
        <v>94</v>
      </c>
      <c r="B145" s="49">
        <v>16</v>
      </c>
      <c r="C145" s="152" t="str">
        <f xml:space="preserve"> IF(B145="","",setValueToTime(B145))</f>
        <v>1h20min</v>
      </c>
      <c r="D145" s="50"/>
      <c r="E145" s="226"/>
      <c r="F145" s="227"/>
      <c r="G145" s="51"/>
    </row>
    <row r="146" spans="1:7" s="52" customFormat="1" ht="27" x14ac:dyDescent="0.3">
      <c r="A146" s="53" t="s">
        <v>95</v>
      </c>
      <c r="B146" s="54">
        <v>18</v>
      </c>
      <c r="C146" s="153" t="str">
        <f t="shared" ref="C146:C148" si="20" xml:space="preserve"> IF(B146="","",setValueToTime(B146))</f>
        <v>1h30min</v>
      </c>
      <c r="D146" s="55"/>
      <c r="E146" s="228"/>
      <c r="F146" s="229"/>
      <c r="G146" s="51"/>
    </row>
    <row r="147" spans="1:7" s="52" customFormat="1" x14ac:dyDescent="0.3">
      <c r="A147" s="54" t="s">
        <v>17</v>
      </c>
      <c r="B147" s="54">
        <v>2</v>
      </c>
      <c r="C147" s="154" t="str">
        <f t="shared" si="20"/>
        <v>0h10min</v>
      </c>
      <c r="D147" s="55"/>
      <c r="E147" s="228"/>
      <c r="F147" s="229"/>
      <c r="G147" s="51"/>
    </row>
    <row r="148" spans="1:7" s="52" customFormat="1" ht="15" thickBot="1" x14ac:dyDescent="0.35">
      <c r="A148" s="56" t="s">
        <v>16</v>
      </c>
      <c r="B148" s="56">
        <v>2</v>
      </c>
      <c r="C148" s="155" t="str">
        <f t="shared" si="20"/>
        <v>0h10min</v>
      </c>
      <c r="D148" s="57"/>
      <c r="E148" s="232"/>
      <c r="F148" s="233"/>
      <c r="G148" s="51"/>
    </row>
    <row r="149" spans="1:7" s="52" customFormat="1" ht="15" thickBot="1" x14ac:dyDescent="0.35">
      <c r="A149" s="111" t="s">
        <v>29</v>
      </c>
      <c r="B149" s="84">
        <f>SUM(B145:B148)</f>
        <v>38</v>
      </c>
      <c r="C149" s="111" t="str">
        <f xml:space="preserve"> setValueToTime(B149)</f>
        <v>3h10min</v>
      </c>
      <c r="D149" s="120"/>
      <c r="E149" s="230"/>
      <c r="F149" s="231"/>
      <c r="G149" s="51"/>
    </row>
    <row r="150" spans="1:7" s="59" customFormat="1" ht="15" thickBot="1" x14ac:dyDescent="0.35">
      <c r="A150" s="79"/>
      <c r="B150" s="79"/>
      <c r="C150" s="79"/>
      <c r="D150" s="79"/>
      <c r="E150" s="79"/>
      <c r="F150" s="79"/>
      <c r="G150" s="58"/>
    </row>
    <row r="151" spans="1:7" s="47" customFormat="1" ht="30" customHeight="1" thickBot="1" x14ac:dyDescent="0.3">
      <c r="A151" s="81" t="s">
        <v>12</v>
      </c>
      <c r="B151" s="163">
        <v>5</v>
      </c>
      <c r="C151" s="163"/>
      <c r="D151" s="82" t="s">
        <v>15</v>
      </c>
      <c r="E151" s="94">
        <v>44323</v>
      </c>
      <c r="F151" s="126" t="s">
        <v>44</v>
      </c>
      <c r="G151" s="46"/>
    </row>
    <row r="152" spans="1:7" s="47" customFormat="1" ht="30" customHeight="1" thickBot="1" x14ac:dyDescent="0.3">
      <c r="A152" s="80" t="s">
        <v>5</v>
      </c>
      <c r="B152" s="150" t="s">
        <v>41</v>
      </c>
      <c r="C152" s="151">
        <v>38</v>
      </c>
      <c r="D152" s="80" t="s">
        <v>13</v>
      </c>
      <c r="E152" s="224" t="s">
        <v>14</v>
      </c>
      <c r="F152" s="225"/>
      <c r="G152" s="46"/>
    </row>
    <row r="153" spans="1:7" s="52" customFormat="1" ht="27" x14ac:dyDescent="0.3">
      <c r="A153" s="48" t="s">
        <v>94</v>
      </c>
      <c r="B153" s="49">
        <v>34</v>
      </c>
      <c r="C153" s="152" t="str">
        <f xml:space="preserve"> IF(B153="","",setValueToTime(B153))</f>
        <v>2h50min</v>
      </c>
      <c r="D153" s="50"/>
      <c r="E153" s="226"/>
      <c r="F153" s="227"/>
      <c r="G153" s="51"/>
    </row>
    <row r="154" spans="1:7" s="52" customFormat="1" x14ac:dyDescent="0.3">
      <c r="A154" s="54" t="s">
        <v>17</v>
      </c>
      <c r="B154" s="54">
        <v>2</v>
      </c>
      <c r="C154" s="154" t="str">
        <f t="shared" ref="C154:C155" si="21" xml:space="preserve"> IF(B154="","",setValueToTime(B154))</f>
        <v>0h10min</v>
      </c>
      <c r="D154" s="55"/>
      <c r="E154" s="228"/>
      <c r="F154" s="229"/>
      <c r="G154" s="51"/>
    </row>
    <row r="155" spans="1:7" s="52" customFormat="1" ht="15" thickBot="1" x14ac:dyDescent="0.35">
      <c r="A155" s="56" t="s">
        <v>16</v>
      </c>
      <c r="B155" s="56">
        <v>2</v>
      </c>
      <c r="C155" s="155" t="str">
        <f t="shared" si="21"/>
        <v>0h10min</v>
      </c>
      <c r="D155" s="57"/>
      <c r="E155" s="232"/>
      <c r="F155" s="233"/>
      <c r="G155" s="51"/>
    </row>
    <row r="156" spans="1:7" s="52" customFormat="1" ht="15" thickBot="1" x14ac:dyDescent="0.35">
      <c r="A156" s="111" t="s">
        <v>29</v>
      </c>
      <c r="B156" s="84">
        <f>SUM(B153:B155)</f>
        <v>38</v>
      </c>
      <c r="C156" s="111" t="str">
        <f xml:space="preserve"> setValueToTime(B156)</f>
        <v>3h10min</v>
      </c>
      <c r="D156" s="120"/>
      <c r="E156" s="230"/>
      <c r="F156" s="231"/>
      <c r="G156" s="51"/>
    </row>
    <row r="157" spans="1:7" s="59" customFormat="1" ht="15" thickBot="1" x14ac:dyDescent="0.35">
      <c r="A157" s="79"/>
      <c r="B157" s="79"/>
      <c r="C157" s="79"/>
      <c r="D157" s="79"/>
      <c r="E157" s="79"/>
      <c r="F157" s="79"/>
      <c r="G157" s="58"/>
    </row>
    <row r="158" spans="1:7" s="47" customFormat="1" ht="30" customHeight="1" thickBot="1" x14ac:dyDescent="0.3">
      <c r="A158" s="81" t="s">
        <v>12</v>
      </c>
      <c r="B158" s="163">
        <v>4</v>
      </c>
      <c r="C158" s="163"/>
      <c r="D158" s="82" t="s">
        <v>15</v>
      </c>
      <c r="E158" s="94">
        <v>44323</v>
      </c>
      <c r="F158" s="126" t="s">
        <v>45</v>
      </c>
      <c r="G158" s="46"/>
    </row>
    <row r="159" spans="1:7" s="47" customFormat="1" ht="30" customHeight="1" thickBot="1" x14ac:dyDescent="0.3">
      <c r="A159" s="80" t="s">
        <v>5</v>
      </c>
      <c r="B159" s="150" t="s">
        <v>41</v>
      </c>
      <c r="C159" s="151">
        <v>38</v>
      </c>
      <c r="D159" s="80" t="s">
        <v>13</v>
      </c>
      <c r="E159" s="224" t="s">
        <v>14</v>
      </c>
      <c r="F159" s="225"/>
      <c r="G159" s="46"/>
    </row>
    <row r="160" spans="1:7" s="52" customFormat="1" ht="27" x14ac:dyDescent="0.3">
      <c r="A160" s="48" t="s">
        <v>93</v>
      </c>
      <c r="B160" s="49">
        <v>34</v>
      </c>
      <c r="C160" s="152" t="str">
        <f xml:space="preserve"> IF(B160="","",setValueToTime(B160))</f>
        <v>2h50min</v>
      </c>
      <c r="D160" s="50"/>
      <c r="E160" s="226"/>
      <c r="F160" s="227"/>
      <c r="G160" s="51"/>
    </row>
    <row r="161" spans="1:7" s="52" customFormat="1" x14ac:dyDescent="0.3">
      <c r="A161" s="54" t="s">
        <v>17</v>
      </c>
      <c r="B161" s="54">
        <v>2</v>
      </c>
      <c r="C161" s="154" t="str">
        <f t="shared" ref="C161:C162" si="22" xml:space="preserve"> IF(B161="","",setValueToTime(B161))</f>
        <v>0h10min</v>
      </c>
      <c r="D161" s="55"/>
      <c r="E161" s="228"/>
      <c r="F161" s="229"/>
      <c r="G161" s="51"/>
    </row>
    <row r="162" spans="1:7" s="52" customFormat="1" ht="15" thickBot="1" x14ac:dyDescent="0.35">
      <c r="A162" s="56" t="s">
        <v>16</v>
      </c>
      <c r="B162" s="56">
        <v>2</v>
      </c>
      <c r="C162" s="155" t="str">
        <f t="shared" si="22"/>
        <v>0h10min</v>
      </c>
      <c r="D162" s="57"/>
      <c r="E162" s="232"/>
      <c r="F162" s="233"/>
      <c r="G162" s="51"/>
    </row>
    <row r="163" spans="1:7" s="52" customFormat="1" ht="15" thickBot="1" x14ac:dyDescent="0.35">
      <c r="A163" s="111" t="s">
        <v>29</v>
      </c>
      <c r="B163" s="84">
        <f>SUM(B160:B162)</f>
        <v>38</v>
      </c>
      <c r="C163" s="111" t="str">
        <f xml:space="preserve"> setValueToTime(B163)</f>
        <v>3h10min</v>
      </c>
      <c r="D163" s="120"/>
      <c r="E163" s="230"/>
      <c r="F163" s="231"/>
      <c r="G163" s="51"/>
    </row>
    <row r="164" spans="1:7" s="59" customFormat="1" ht="15" thickBot="1" x14ac:dyDescent="0.35">
      <c r="A164" s="79"/>
      <c r="B164" s="79"/>
      <c r="C164" s="79"/>
      <c r="D164" s="79"/>
      <c r="E164" s="79"/>
      <c r="F164" s="79"/>
      <c r="G164" s="58"/>
    </row>
    <row r="165" spans="1:7" s="47" customFormat="1" ht="30" customHeight="1" thickBot="1" x14ac:dyDescent="0.3">
      <c r="A165" s="81" t="s">
        <v>12</v>
      </c>
      <c r="B165" s="163">
        <v>3</v>
      </c>
      <c r="C165" s="163"/>
      <c r="D165" s="82" t="s">
        <v>15</v>
      </c>
      <c r="E165" s="94">
        <v>44322</v>
      </c>
      <c r="F165" s="126" t="s">
        <v>44</v>
      </c>
      <c r="G165" s="46"/>
    </row>
    <row r="166" spans="1:7" s="47" customFormat="1" ht="30" customHeight="1" thickBot="1" x14ac:dyDescent="0.3">
      <c r="A166" s="80" t="s">
        <v>5</v>
      </c>
      <c r="B166" s="150" t="s">
        <v>41</v>
      </c>
      <c r="C166" s="151">
        <v>38</v>
      </c>
      <c r="D166" s="80" t="s">
        <v>13</v>
      </c>
      <c r="E166" s="224" t="s">
        <v>14</v>
      </c>
      <c r="F166" s="225"/>
      <c r="G166" s="46"/>
    </row>
    <row r="167" spans="1:7" s="52" customFormat="1" ht="27" x14ac:dyDescent="0.3">
      <c r="A167" s="48" t="s">
        <v>93</v>
      </c>
      <c r="B167" s="49">
        <v>44</v>
      </c>
      <c r="C167" s="152" t="str">
        <f xml:space="preserve"> IF(B167="","",setValueToTime(B167))</f>
        <v>3h40min</v>
      </c>
      <c r="D167" s="174"/>
      <c r="E167" s="226"/>
      <c r="F167" s="227"/>
      <c r="G167" s="51"/>
    </row>
    <row r="168" spans="1:7" s="52" customFormat="1" x14ac:dyDescent="0.3">
      <c r="A168" s="54" t="s">
        <v>17</v>
      </c>
      <c r="B168" s="54">
        <v>2</v>
      </c>
      <c r="C168" s="154" t="str">
        <f t="shared" ref="C168:C169" si="23" xml:space="preserve"> IF(B168="","",setValueToTime(B168))</f>
        <v>0h10min</v>
      </c>
      <c r="D168" s="55"/>
      <c r="E168" s="228"/>
      <c r="F168" s="229"/>
      <c r="G168" s="51"/>
    </row>
    <row r="169" spans="1:7" s="52" customFormat="1" ht="15" thickBot="1" x14ac:dyDescent="0.35">
      <c r="A169" s="56" t="s">
        <v>16</v>
      </c>
      <c r="B169" s="56">
        <v>2</v>
      </c>
      <c r="C169" s="155" t="str">
        <f t="shared" si="23"/>
        <v>0h10min</v>
      </c>
      <c r="D169" s="57"/>
      <c r="E169" s="232"/>
      <c r="F169" s="233"/>
      <c r="G169" s="51"/>
    </row>
    <row r="170" spans="1:7" s="52" customFormat="1" ht="15" thickBot="1" x14ac:dyDescent="0.35">
      <c r="A170" s="111" t="s">
        <v>29</v>
      </c>
      <c r="B170" s="84">
        <f>SUM(B167:B169)</f>
        <v>48</v>
      </c>
      <c r="C170" s="111" t="str">
        <f xml:space="preserve"> setValueToTime(B170)</f>
        <v>4h</v>
      </c>
      <c r="D170" s="120"/>
      <c r="E170" s="230"/>
      <c r="F170" s="231"/>
      <c r="G170" s="51"/>
    </row>
    <row r="171" spans="1:7" s="59" customFormat="1" ht="15" thickBot="1" x14ac:dyDescent="0.35">
      <c r="A171" s="79"/>
      <c r="B171" s="79"/>
      <c r="C171" s="79"/>
      <c r="D171" s="79"/>
      <c r="E171" s="79"/>
      <c r="F171" s="79"/>
      <c r="G171" s="58"/>
    </row>
    <row r="172" spans="1:7" s="47" customFormat="1" ht="30" customHeight="1" thickBot="1" x14ac:dyDescent="0.3">
      <c r="A172" s="81" t="s">
        <v>12</v>
      </c>
      <c r="B172" s="163">
        <v>2</v>
      </c>
      <c r="C172" s="163"/>
      <c r="D172" s="82" t="s">
        <v>15</v>
      </c>
      <c r="E172" s="94">
        <v>44322</v>
      </c>
      <c r="F172" s="126" t="s">
        <v>45</v>
      </c>
      <c r="G172" s="46"/>
    </row>
    <row r="173" spans="1:7" s="47" customFormat="1" ht="30" customHeight="1" thickBot="1" x14ac:dyDescent="0.3">
      <c r="A173" s="80" t="s">
        <v>5</v>
      </c>
      <c r="B173" s="150" t="s">
        <v>41</v>
      </c>
      <c r="C173" s="151">
        <v>48</v>
      </c>
      <c r="D173" s="80" t="s">
        <v>13</v>
      </c>
      <c r="E173" s="224" t="s">
        <v>14</v>
      </c>
      <c r="F173" s="225"/>
      <c r="G173" s="46"/>
    </row>
    <row r="174" spans="1:7" s="52" customFormat="1" x14ac:dyDescent="0.3">
      <c r="A174" s="48" t="s">
        <v>92</v>
      </c>
      <c r="B174" s="49">
        <v>8</v>
      </c>
      <c r="C174" s="152" t="str">
        <f xml:space="preserve"> IF(B174="","",setValueToTime(B174))</f>
        <v>0h40min</v>
      </c>
      <c r="D174" s="172"/>
      <c r="E174" s="226"/>
      <c r="F174" s="227"/>
      <c r="G174" s="51"/>
    </row>
    <row r="175" spans="1:7" s="52" customFormat="1" x14ac:dyDescent="0.3">
      <c r="A175" s="53" t="s">
        <v>88</v>
      </c>
      <c r="B175" s="54">
        <v>14</v>
      </c>
      <c r="C175" s="153" t="str">
        <f t="shared" ref="C175:C179" si="24" xml:space="preserve"> IF(B175="","",setValueToTime(B175))</f>
        <v>1h10min</v>
      </c>
      <c r="D175" s="174"/>
      <c r="E175" s="228"/>
      <c r="F175" s="229"/>
      <c r="G175" s="51"/>
    </row>
    <row r="176" spans="1:7" s="52" customFormat="1" ht="27" x14ac:dyDescent="0.3">
      <c r="A176" s="53" t="s">
        <v>93</v>
      </c>
      <c r="B176" s="54">
        <v>20</v>
      </c>
      <c r="C176" s="153" t="str">
        <f t="shared" ref="C176" si="25" xml:space="preserve"> IF(B176="","",setValueToTime(B176))</f>
        <v>1h40min</v>
      </c>
      <c r="D176" s="174"/>
      <c r="E176" s="228"/>
      <c r="F176" s="229"/>
      <c r="G176" s="51"/>
    </row>
    <row r="177" spans="1:7" s="52" customFormat="1" x14ac:dyDescent="0.3">
      <c r="A177" s="173" t="s">
        <v>17</v>
      </c>
      <c r="B177" s="54">
        <v>2</v>
      </c>
      <c r="C177" s="153" t="str">
        <f t="shared" ref="C177" si="26" xml:space="preserve"> IF(B177="","",setValueToTime(B177))</f>
        <v>0h10min</v>
      </c>
      <c r="D177" s="174"/>
      <c r="E177" s="228"/>
      <c r="F177" s="229"/>
      <c r="G177" s="51"/>
    </row>
    <row r="178" spans="1:7" s="52" customFormat="1" x14ac:dyDescent="0.3">
      <c r="A178" s="54" t="s">
        <v>17</v>
      </c>
      <c r="B178" s="54">
        <v>2</v>
      </c>
      <c r="C178" s="154" t="str">
        <f t="shared" si="24"/>
        <v>0h10min</v>
      </c>
      <c r="D178" s="55"/>
      <c r="E178" s="228"/>
      <c r="F178" s="229"/>
      <c r="G178" s="51"/>
    </row>
    <row r="179" spans="1:7" s="52" customFormat="1" ht="15" thickBot="1" x14ac:dyDescent="0.35">
      <c r="A179" s="56" t="s">
        <v>16</v>
      </c>
      <c r="B179" s="56">
        <v>2</v>
      </c>
      <c r="C179" s="155" t="str">
        <f t="shared" si="24"/>
        <v>0h10min</v>
      </c>
      <c r="D179" s="57"/>
      <c r="E179" s="232"/>
      <c r="F179" s="233"/>
      <c r="G179" s="51"/>
    </row>
    <row r="180" spans="1:7" s="52" customFormat="1" ht="15" thickBot="1" x14ac:dyDescent="0.35">
      <c r="A180" s="111" t="s">
        <v>29</v>
      </c>
      <c r="B180" s="84">
        <f>SUM(B174:B179)</f>
        <v>48</v>
      </c>
      <c r="C180" s="111" t="str">
        <f xml:space="preserve"> setValueToTime(B180)</f>
        <v>4h</v>
      </c>
      <c r="D180" s="120"/>
      <c r="E180" s="230"/>
      <c r="F180" s="231"/>
      <c r="G180" s="51"/>
    </row>
    <row r="181" spans="1:7" s="59" customFormat="1" ht="15" thickBot="1" x14ac:dyDescent="0.35">
      <c r="A181" s="79"/>
      <c r="B181" s="79"/>
      <c r="C181" s="79"/>
      <c r="D181" s="79"/>
      <c r="E181" s="79"/>
      <c r="F181" s="79"/>
      <c r="G181" s="58"/>
    </row>
    <row r="182" spans="1:7" s="47" customFormat="1" ht="30" customHeight="1" thickBot="1" x14ac:dyDescent="0.3">
      <c r="A182" s="81" t="s">
        <v>12</v>
      </c>
      <c r="B182" s="163">
        <v>1</v>
      </c>
      <c r="C182" s="163"/>
      <c r="D182" s="82" t="s">
        <v>15</v>
      </c>
      <c r="E182" s="94">
        <v>44321</v>
      </c>
      <c r="F182" s="126" t="s">
        <v>44</v>
      </c>
      <c r="G182" s="46"/>
    </row>
    <row r="183" spans="1:7" s="47" customFormat="1" ht="30" customHeight="1" thickBot="1" x14ac:dyDescent="0.3">
      <c r="A183" s="80" t="s">
        <v>5</v>
      </c>
      <c r="B183" s="150" t="s">
        <v>41</v>
      </c>
      <c r="C183" s="151">
        <v>38</v>
      </c>
      <c r="D183" s="80" t="s">
        <v>13</v>
      </c>
      <c r="E183" s="224" t="s">
        <v>14</v>
      </c>
      <c r="F183" s="225"/>
      <c r="G183" s="46"/>
    </row>
    <row r="184" spans="1:7" s="52" customFormat="1" x14ac:dyDescent="0.3">
      <c r="A184" s="48" t="s">
        <v>89</v>
      </c>
      <c r="B184" s="49">
        <v>6</v>
      </c>
      <c r="C184" s="152" t="str">
        <f xml:space="preserve"> IF(B184="","",setValueToTime(B184))</f>
        <v>0h30min</v>
      </c>
      <c r="D184" s="172" t="s">
        <v>101</v>
      </c>
      <c r="E184" s="226"/>
      <c r="F184" s="227"/>
      <c r="G184" s="51"/>
    </row>
    <row r="185" spans="1:7" s="52" customFormat="1" x14ac:dyDescent="0.3">
      <c r="A185" s="173" t="s">
        <v>32</v>
      </c>
      <c r="B185" s="54">
        <v>14</v>
      </c>
      <c r="C185" s="153" t="str">
        <f t="shared" ref="C185:C189" si="27" xml:space="preserve"> IF(B185="","",setValueToTime(B185))</f>
        <v>1h10min</v>
      </c>
      <c r="D185" s="174" t="s">
        <v>102</v>
      </c>
      <c r="E185" s="228"/>
      <c r="F185" s="229"/>
      <c r="G185" s="51"/>
    </row>
    <row r="186" spans="1:7" s="52" customFormat="1" ht="27" x14ac:dyDescent="0.3">
      <c r="A186" s="53" t="s">
        <v>91</v>
      </c>
      <c r="B186" s="54">
        <v>12</v>
      </c>
      <c r="C186" s="153" t="str">
        <f t="shared" si="27"/>
        <v>1h</v>
      </c>
      <c r="D186" s="174" t="s">
        <v>103</v>
      </c>
      <c r="E186" s="228"/>
      <c r="F186" s="229"/>
      <c r="G186" s="51"/>
    </row>
    <row r="187" spans="1:7" s="52" customFormat="1" x14ac:dyDescent="0.3">
      <c r="A187" s="173" t="s">
        <v>92</v>
      </c>
      <c r="B187" s="54">
        <v>2</v>
      </c>
      <c r="C187" s="153" t="str">
        <f t="shared" si="27"/>
        <v>0h10min</v>
      </c>
      <c r="D187" s="174" t="s">
        <v>104</v>
      </c>
      <c r="E187" s="228"/>
      <c r="F187" s="229"/>
      <c r="G187" s="51"/>
    </row>
    <row r="188" spans="1:7" s="52" customFormat="1" x14ac:dyDescent="0.3">
      <c r="A188" s="54" t="s">
        <v>17</v>
      </c>
      <c r="B188" s="54">
        <v>2</v>
      </c>
      <c r="C188" s="154" t="str">
        <f t="shared" si="27"/>
        <v>0h10min</v>
      </c>
      <c r="D188" s="55"/>
      <c r="E188" s="228"/>
      <c r="F188" s="229"/>
      <c r="G188" s="51"/>
    </row>
    <row r="189" spans="1:7" s="52" customFormat="1" ht="15" thickBot="1" x14ac:dyDescent="0.35">
      <c r="A189" s="56" t="s">
        <v>16</v>
      </c>
      <c r="B189" s="56">
        <v>2</v>
      </c>
      <c r="C189" s="155" t="str">
        <f t="shared" si="27"/>
        <v>0h10min</v>
      </c>
      <c r="D189" s="57"/>
      <c r="E189" s="232"/>
      <c r="F189" s="233"/>
      <c r="G189" s="51"/>
    </row>
    <row r="190" spans="1:7" s="52" customFormat="1" ht="15" thickBot="1" x14ac:dyDescent="0.35">
      <c r="A190" s="111" t="s">
        <v>29</v>
      </c>
      <c r="B190" s="84">
        <f>SUM(B184:B189)</f>
        <v>38</v>
      </c>
      <c r="C190" s="111" t="str">
        <f xml:space="preserve"> setValueToTime(B190)</f>
        <v>3h10min</v>
      </c>
      <c r="D190" s="120"/>
      <c r="E190" s="230"/>
      <c r="F190" s="231"/>
      <c r="G190" s="51"/>
    </row>
    <row r="191" spans="1:7" s="59" customFormat="1" x14ac:dyDescent="0.3">
      <c r="A191" s="79"/>
      <c r="B191" s="79"/>
      <c r="C191" s="79"/>
      <c r="D191" s="79"/>
      <c r="E191" s="79"/>
      <c r="F191" s="79"/>
      <c r="G191" s="58"/>
    </row>
  </sheetData>
  <sheetProtection formatRows="0" insertRows="0" insertHyperlinks="0" deleteRows="0" selectLockedCells="1"/>
  <mergeCells count="138">
    <mergeCell ref="E188:F188"/>
    <mergeCell ref="E189:F189"/>
    <mergeCell ref="E190:F190"/>
    <mergeCell ref="E173:F173"/>
    <mergeCell ref="E174:F174"/>
    <mergeCell ref="E175:F175"/>
    <mergeCell ref="E176:F176"/>
    <mergeCell ref="E177:F177"/>
    <mergeCell ref="E183:F183"/>
    <mergeCell ref="E184:F184"/>
    <mergeCell ref="E185:F185"/>
    <mergeCell ref="E186:F186"/>
    <mergeCell ref="E187:F187"/>
    <mergeCell ref="E178:F178"/>
    <mergeCell ref="E179:F179"/>
    <mergeCell ref="E180:F180"/>
    <mergeCell ref="E170:F170"/>
    <mergeCell ref="E159:F159"/>
    <mergeCell ref="E160:F160"/>
    <mergeCell ref="E161:F161"/>
    <mergeCell ref="E162:F162"/>
    <mergeCell ref="E163:F163"/>
    <mergeCell ref="E166:F166"/>
    <mergeCell ref="E167:F167"/>
    <mergeCell ref="E168:F168"/>
    <mergeCell ref="E169:F169"/>
    <mergeCell ref="E156:F156"/>
    <mergeCell ref="E144:F144"/>
    <mergeCell ref="E145:F145"/>
    <mergeCell ref="E146:F146"/>
    <mergeCell ref="E147:F147"/>
    <mergeCell ref="E148:F148"/>
    <mergeCell ref="E149:F149"/>
    <mergeCell ref="E152:F152"/>
    <mergeCell ref="E153:F153"/>
    <mergeCell ref="E154:F154"/>
    <mergeCell ref="E155:F155"/>
    <mergeCell ref="E141:F141"/>
    <mergeCell ref="E130:F130"/>
    <mergeCell ref="E131:F131"/>
    <mergeCell ref="E132:F132"/>
    <mergeCell ref="E133:F133"/>
    <mergeCell ref="E134:F134"/>
    <mergeCell ref="E137:F137"/>
    <mergeCell ref="E138:F138"/>
    <mergeCell ref="E139:F139"/>
    <mergeCell ref="E140:F140"/>
    <mergeCell ref="E127:F127"/>
    <mergeCell ref="E116:F116"/>
    <mergeCell ref="E117:F117"/>
    <mergeCell ref="E118:F118"/>
    <mergeCell ref="E119:F119"/>
    <mergeCell ref="E120:F120"/>
    <mergeCell ref="E123:F123"/>
    <mergeCell ref="E124:F124"/>
    <mergeCell ref="E125:F125"/>
    <mergeCell ref="E126:F126"/>
    <mergeCell ref="E113:F113"/>
    <mergeCell ref="E101:F101"/>
    <mergeCell ref="E102:F102"/>
    <mergeCell ref="E103:F103"/>
    <mergeCell ref="E104:F104"/>
    <mergeCell ref="E105:F105"/>
    <mergeCell ref="E108:F108"/>
    <mergeCell ref="E109:F109"/>
    <mergeCell ref="E110:F110"/>
    <mergeCell ref="E111:F111"/>
    <mergeCell ref="E112:F112"/>
    <mergeCell ref="E98:F98"/>
    <mergeCell ref="E87:F87"/>
    <mergeCell ref="E88:F88"/>
    <mergeCell ref="E89:F89"/>
    <mergeCell ref="E90:F90"/>
    <mergeCell ref="E91:F91"/>
    <mergeCell ref="E94:F94"/>
    <mergeCell ref="E95:F95"/>
    <mergeCell ref="E96:F96"/>
    <mergeCell ref="E97:F97"/>
    <mergeCell ref="E84:F84"/>
    <mergeCell ref="E73:F73"/>
    <mergeCell ref="E74:F74"/>
    <mergeCell ref="E75:F75"/>
    <mergeCell ref="E76:F76"/>
    <mergeCell ref="E77:F77"/>
    <mergeCell ref="E80:F80"/>
    <mergeCell ref="E81:F81"/>
    <mergeCell ref="E82:F82"/>
    <mergeCell ref="E83:F83"/>
    <mergeCell ref="E70:F70"/>
    <mergeCell ref="E59:F59"/>
    <mergeCell ref="E60:F60"/>
    <mergeCell ref="E61:F61"/>
    <mergeCell ref="E62:F62"/>
    <mergeCell ref="E63:F63"/>
    <mergeCell ref="E66:F66"/>
    <mergeCell ref="E67:F67"/>
    <mergeCell ref="E68:F68"/>
    <mergeCell ref="E69:F69"/>
    <mergeCell ref="E56:F56"/>
    <mergeCell ref="E44:F44"/>
    <mergeCell ref="E45:F45"/>
    <mergeCell ref="E46:F46"/>
    <mergeCell ref="E47:F47"/>
    <mergeCell ref="E48:F48"/>
    <mergeCell ref="E51:F51"/>
    <mergeCell ref="E52:F52"/>
    <mergeCell ref="E53:F53"/>
    <mergeCell ref="E54:F54"/>
    <mergeCell ref="E55:F55"/>
    <mergeCell ref="E41:F41"/>
    <mergeCell ref="E29:F29"/>
    <mergeCell ref="E30:F30"/>
    <mergeCell ref="E31:F31"/>
    <mergeCell ref="E32:F32"/>
    <mergeCell ref="E33:F33"/>
    <mergeCell ref="E34:F34"/>
    <mergeCell ref="E37:F37"/>
    <mergeCell ref="E38:F38"/>
    <mergeCell ref="E39:F39"/>
    <mergeCell ref="E40:F40"/>
    <mergeCell ref="E3:F3"/>
    <mergeCell ref="E4:F4"/>
    <mergeCell ref="E5:F5"/>
    <mergeCell ref="E9:F9"/>
    <mergeCell ref="E10:F10"/>
    <mergeCell ref="E11:F11"/>
    <mergeCell ref="E6:F6"/>
    <mergeCell ref="E26:F26"/>
    <mergeCell ref="E15:F15"/>
    <mergeCell ref="E16:F16"/>
    <mergeCell ref="E17:F17"/>
    <mergeCell ref="E12:F12"/>
    <mergeCell ref="E18:F18"/>
    <mergeCell ref="E21:F21"/>
    <mergeCell ref="E22:F22"/>
    <mergeCell ref="E23:F23"/>
    <mergeCell ref="E24:F24"/>
    <mergeCell ref="E25:F25"/>
  </mergeCells>
  <phoneticPr fontId="0" type="noConversion"/>
  <conditionalFormatting sqref="B190">
    <cfRule type="cellIs" dxfId="53" priority="43" operator="greaterThan">
      <formula>60</formula>
    </cfRule>
  </conditionalFormatting>
  <conditionalFormatting sqref="B180">
    <cfRule type="cellIs" dxfId="52" priority="42" operator="greaterThan">
      <formula>60</formula>
    </cfRule>
  </conditionalFormatting>
  <conditionalFormatting sqref="B170">
    <cfRule type="cellIs" dxfId="51" priority="41" operator="greaterThan">
      <formula>60</formula>
    </cfRule>
  </conditionalFormatting>
  <conditionalFormatting sqref="B163">
    <cfRule type="cellIs" dxfId="50" priority="40" operator="greaterThan">
      <formula>60</formula>
    </cfRule>
  </conditionalFormatting>
  <conditionalFormatting sqref="B156">
    <cfRule type="cellIs" dxfId="49" priority="39" operator="greaterThan">
      <formula>60</formula>
    </cfRule>
  </conditionalFormatting>
  <conditionalFormatting sqref="B149">
    <cfRule type="cellIs" dxfId="48" priority="38" operator="greaterThan">
      <formula>60</formula>
    </cfRule>
  </conditionalFormatting>
  <conditionalFormatting sqref="B141">
    <cfRule type="cellIs" dxfId="47" priority="37" operator="greaterThan">
      <formula>60</formula>
    </cfRule>
  </conditionalFormatting>
  <conditionalFormatting sqref="B134">
    <cfRule type="cellIs" dxfId="46" priority="36" operator="greaterThan">
      <formula>60</formula>
    </cfRule>
  </conditionalFormatting>
  <conditionalFormatting sqref="B127">
    <cfRule type="cellIs" dxfId="45" priority="35" operator="greaterThan">
      <formula>60</formula>
    </cfRule>
  </conditionalFormatting>
  <conditionalFormatting sqref="B120">
    <cfRule type="cellIs" dxfId="44" priority="34" operator="greaterThan">
      <formula>60</formula>
    </cfRule>
  </conditionalFormatting>
  <conditionalFormatting sqref="B113">
    <cfRule type="cellIs" dxfId="43" priority="33" operator="greaterThan">
      <formula>60</formula>
    </cfRule>
  </conditionalFormatting>
  <conditionalFormatting sqref="B105">
    <cfRule type="cellIs" dxfId="42" priority="32" operator="greaterThan">
      <formula>60</formula>
    </cfRule>
  </conditionalFormatting>
  <conditionalFormatting sqref="B98">
    <cfRule type="cellIs" dxfId="41" priority="31" operator="greaterThan">
      <formula>60</formula>
    </cfRule>
  </conditionalFormatting>
  <conditionalFormatting sqref="B91">
    <cfRule type="cellIs" dxfId="40" priority="30" operator="greaterThan">
      <formula>60</formula>
    </cfRule>
  </conditionalFormatting>
  <conditionalFormatting sqref="B84">
    <cfRule type="cellIs" dxfId="39" priority="29" operator="greaterThan">
      <formula>60</formula>
    </cfRule>
  </conditionalFormatting>
  <conditionalFormatting sqref="B77">
    <cfRule type="cellIs" dxfId="38" priority="28" operator="greaterThan">
      <formula>60</formula>
    </cfRule>
  </conditionalFormatting>
  <conditionalFormatting sqref="B70">
    <cfRule type="cellIs" dxfId="37" priority="27" operator="greaterThan">
      <formula>60</formula>
    </cfRule>
  </conditionalFormatting>
  <conditionalFormatting sqref="B63">
    <cfRule type="cellIs" dxfId="36" priority="26" operator="greaterThan">
      <formula>60</formula>
    </cfRule>
  </conditionalFormatting>
  <conditionalFormatting sqref="B56">
    <cfRule type="cellIs" dxfId="35" priority="25" operator="greaterThan">
      <formula>60</formula>
    </cfRule>
  </conditionalFormatting>
  <conditionalFormatting sqref="B48">
    <cfRule type="cellIs" dxfId="34" priority="24" operator="greaterThan">
      <formula>60</formula>
    </cfRule>
  </conditionalFormatting>
  <conditionalFormatting sqref="B41">
    <cfRule type="cellIs" dxfId="33" priority="23" operator="greaterThan">
      <formula>60</formula>
    </cfRule>
  </conditionalFormatting>
  <conditionalFormatting sqref="B34">
    <cfRule type="cellIs" dxfId="32" priority="22" operator="greaterThan">
      <formula>60</formula>
    </cfRule>
  </conditionalFormatting>
  <conditionalFormatting sqref="B26">
    <cfRule type="cellIs" dxfId="31" priority="21" operator="greaterThan">
      <formula>60</formula>
    </cfRule>
  </conditionalFormatting>
  <conditionalFormatting sqref="B18">
    <cfRule type="cellIs" dxfId="30" priority="20" operator="greaterThan">
      <formula>60</formula>
    </cfRule>
  </conditionalFormatting>
  <conditionalFormatting sqref="B12">
    <cfRule type="cellIs" dxfId="29" priority="19" operator="greaterThan">
      <formula>60</formula>
    </cfRule>
  </conditionalFormatting>
  <conditionalFormatting sqref="B6">
    <cfRule type="cellIs" dxfId="28"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90 B180 B170 B163 B156 B149 B141 B134 B127 B120 B113 B105 B98 B91 B84 B77 B70 B63 B56 B48 B41 B34 B26 B18 B12 B6">
      <formula1>0</formula1>
      <formula2>60</formula2>
    </dataValidation>
    <dataValidation type="whole" operator="greaterThan" allowBlank="1" showInputMessage="1" showErrorMessage="1" errorTitle="Durée par tranche de 10min" error="Le nombre doit être de type entier" sqref="B10:B11 B16:B17 B4:B5 B22:B25 B30:B33 B38:B40 B45:B47 B52:B55 B60:B62 B67:B69 B74:B76 B81:B83 B88:B90 B95:B97 B102:B104 B109:B112 B117:B119 B124:B126 B131:B133 B138:B140 B145:B148 B153:B155 B160:B162 B167:B169 B174:B179 B184:B189">
      <formula1>0</formula1>
    </dataValidation>
    <dataValidation type="list" allowBlank="1" showInputMessage="1" showErrorMessage="1" sqref="A10:A11 A16:A17 A4:A5 A22:A25 A30:A33 A38:A40 A45:A47 A52:A55 A60:A62 A67:A69 A74:A76 A81:A83 A88:A90 A95:A97 A102:A104 A109:A112 A117:A119 A124:A126 A131:A133 A138:A140 A145:A148 A153:A155 A160:A162 A167:A169 A174:A179 A184:A189">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311"/>
  <sheetViews>
    <sheetView showGridLines="0" zoomScaleNormal="100" zoomScaleSheetLayoutView="98" workbookViewId="0">
      <pane ySplit="1" topLeftCell="A14" activePane="bottomLeft" state="frozen"/>
      <selection pane="bottomLeft" activeCell="A4" sqref="A4"/>
    </sheetView>
  </sheetViews>
  <sheetFormatPr baseColWidth="10" defaultColWidth="11.42578125" defaultRowHeight="14.25" x14ac:dyDescent="0.3"/>
  <cols>
    <col min="1" max="1" width="21.42578125" style="60" customWidth="1"/>
    <col min="2" max="2" width="8.42578125" style="60" customWidth="1"/>
    <col min="3" max="3" width="15.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12</v>
      </c>
      <c r="B2" s="164">
        <v>26</v>
      </c>
      <c r="C2" s="164"/>
      <c r="D2" s="157" t="s">
        <v>15</v>
      </c>
      <c r="E2" s="158" t="s">
        <v>87</v>
      </c>
      <c r="F2" s="159" t="s">
        <v>45</v>
      </c>
      <c r="G2" s="46"/>
    </row>
    <row r="3" spans="1:7" s="47" customFormat="1" ht="30" customHeight="1" thickBot="1" x14ac:dyDescent="0.3">
      <c r="A3" s="78" t="s">
        <v>5</v>
      </c>
      <c r="B3" s="161" t="s">
        <v>41</v>
      </c>
      <c r="C3" s="160">
        <v>48</v>
      </c>
      <c r="D3" s="78" t="s">
        <v>13</v>
      </c>
      <c r="E3" s="234" t="s">
        <v>14</v>
      </c>
      <c r="F3" s="235"/>
      <c r="G3" s="46"/>
    </row>
    <row r="4" spans="1:7" s="52" customFormat="1" x14ac:dyDescent="0.3">
      <c r="A4" s="48"/>
      <c r="B4" s="49"/>
      <c r="C4" s="152" t="str">
        <f xml:space="preserve"> IF(B4="","",setValueToTime(B4))</f>
        <v/>
      </c>
      <c r="D4" s="50"/>
      <c r="E4" s="226"/>
      <c r="F4" s="227"/>
      <c r="G4" s="51"/>
    </row>
    <row r="5" spans="1:7" s="52" customFormat="1" x14ac:dyDescent="0.3">
      <c r="A5" s="53"/>
      <c r="B5" s="54"/>
      <c r="C5" s="153" t="str">
        <f t="shared" ref="C5:C11" si="0" xml:space="preserve"> IF(B5="","",setValueToTime(B5))</f>
        <v/>
      </c>
      <c r="D5" s="55"/>
      <c r="E5" s="228"/>
      <c r="F5" s="229"/>
      <c r="G5" s="51"/>
    </row>
    <row r="6" spans="1:7" s="52" customFormat="1" x14ac:dyDescent="0.3">
      <c r="A6" s="53"/>
      <c r="B6" s="54"/>
      <c r="C6" s="153" t="str">
        <f t="shared" si="0"/>
        <v/>
      </c>
      <c r="D6" s="55"/>
      <c r="E6" s="228"/>
      <c r="F6" s="229"/>
      <c r="G6" s="51"/>
    </row>
    <row r="7" spans="1:7" s="52" customFormat="1" x14ac:dyDescent="0.3">
      <c r="A7" s="53"/>
      <c r="B7" s="54"/>
      <c r="C7" s="153" t="str">
        <f t="shared" si="0"/>
        <v/>
      </c>
      <c r="D7" s="55"/>
      <c r="E7" s="228"/>
      <c r="F7" s="229"/>
      <c r="G7" s="51"/>
    </row>
    <row r="8" spans="1:7" s="52" customFormat="1" x14ac:dyDescent="0.3">
      <c r="A8" s="54"/>
      <c r="B8" s="54"/>
      <c r="C8" s="154" t="str">
        <f t="shared" si="0"/>
        <v/>
      </c>
      <c r="D8" s="55"/>
      <c r="E8" s="228"/>
      <c r="F8" s="229"/>
      <c r="G8" s="51"/>
    </row>
    <row r="9" spans="1:7" s="52" customFormat="1" x14ac:dyDescent="0.3">
      <c r="A9" s="54"/>
      <c r="B9" s="54"/>
      <c r="C9" s="154" t="str">
        <f t="shared" si="0"/>
        <v/>
      </c>
      <c r="D9" s="55"/>
      <c r="E9" s="228"/>
      <c r="F9" s="229"/>
      <c r="G9" s="51"/>
    </row>
    <row r="10" spans="1:7" s="52" customFormat="1" x14ac:dyDescent="0.3">
      <c r="A10" s="54"/>
      <c r="B10" s="54"/>
      <c r="C10" s="154" t="str">
        <f t="shared" si="0"/>
        <v/>
      </c>
      <c r="D10" s="55"/>
      <c r="E10" s="228"/>
      <c r="F10" s="229"/>
      <c r="G10" s="51"/>
    </row>
    <row r="11" spans="1:7" s="52" customFormat="1" ht="15" thickBot="1" x14ac:dyDescent="0.35">
      <c r="A11" s="56"/>
      <c r="B11" s="56"/>
      <c r="C11" s="155" t="str">
        <f t="shared" si="0"/>
        <v/>
      </c>
      <c r="D11" s="57"/>
      <c r="E11" s="232"/>
      <c r="F11" s="233"/>
      <c r="G11" s="51"/>
    </row>
    <row r="12" spans="1:7" s="52" customFormat="1" ht="15" thickBot="1" x14ac:dyDescent="0.35">
      <c r="A12" s="162" t="s">
        <v>29</v>
      </c>
      <c r="B12" s="83">
        <f>SUM(B4:B11)</f>
        <v>0</v>
      </c>
      <c r="C12" s="162" t="str">
        <f xml:space="preserve"> setValueToTime(B12)</f>
        <v>0h</v>
      </c>
      <c r="D12" s="121"/>
      <c r="E12" s="236"/>
      <c r="F12" s="237"/>
      <c r="G12" s="51"/>
    </row>
    <row r="13" spans="1:7" s="59" customFormat="1" ht="15" thickBot="1" x14ac:dyDescent="0.35">
      <c r="A13" s="77"/>
      <c r="B13" s="77"/>
      <c r="C13" s="77"/>
      <c r="D13" s="77"/>
      <c r="E13" s="77"/>
      <c r="F13" s="77"/>
      <c r="G13" s="58"/>
    </row>
    <row r="14" spans="1:7" s="47" customFormat="1" ht="30" customHeight="1" thickBot="1" x14ac:dyDescent="0.3">
      <c r="A14" s="156" t="s">
        <v>12</v>
      </c>
      <c r="B14" s="164">
        <v>25</v>
      </c>
      <c r="C14" s="164"/>
      <c r="D14" s="157" t="s">
        <v>15</v>
      </c>
      <c r="E14" s="158" t="s">
        <v>75</v>
      </c>
      <c r="F14" s="159" t="s">
        <v>44</v>
      </c>
      <c r="G14" s="46"/>
    </row>
    <row r="15" spans="1:7" s="47" customFormat="1" ht="30" customHeight="1" thickBot="1" x14ac:dyDescent="0.3">
      <c r="A15" s="78" t="s">
        <v>5</v>
      </c>
      <c r="B15" s="161" t="s">
        <v>41</v>
      </c>
      <c r="C15" s="160">
        <v>38</v>
      </c>
      <c r="D15" s="78" t="s">
        <v>13</v>
      </c>
      <c r="E15" s="234" t="s">
        <v>14</v>
      </c>
      <c r="F15" s="235"/>
      <c r="G15" s="46"/>
    </row>
    <row r="16" spans="1:7" s="52" customFormat="1" x14ac:dyDescent="0.3">
      <c r="A16" s="48"/>
      <c r="B16" s="49"/>
      <c r="C16" s="152" t="str">
        <f xml:space="preserve"> IF(B16="","",setValueToTime(B16))</f>
        <v/>
      </c>
      <c r="D16" s="50"/>
      <c r="E16" s="226"/>
      <c r="F16" s="227"/>
      <c r="G16" s="51"/>
    </row>
    <row r="17" spans="1:7" s="52" customFormat="1" x14ac:dyDescent="0.3">
      <c r="A17" s="53"/>
      <c r="B17" s="54"/>
      <c r="C17" s="153" t="str">
        <f t="shared" ref="C17:C23" si="1" xml:space="preserve"> IF(B17="","",setValueToTime(B17))</f>
        <v/>
      </c>
      <c r="D17" s="55"/>
      <c r="E17" s="228"/>
      <c r="F17" s="229"/>
      <c r="G17" s="51"/>
    </row>
    <row r="18" spans="1:7" s="52" customFormat="1" x14ac:dyDescent="0.3">
      <c r="A18" s="53"/>
      <c r="B18" s="54"/>
      <c r="C18" s="153" t="str">
        <f t="shared" si="1"/>
        <v/>
      </c>
      <c r="D18" s="55"/>
      <c r="E18" s="228"/>
      <c r="F18" s="229"/>
      <c r="G18" s="51"/>
    </row>
    <row r="19" spans="1:7" s="52" customFormat="1" x14ac:dyDescent="0.3">
      <c r="A19" s="53"/>
      <c r="B19" s="54"/>
      <c r="C19" s="153" t="str">
        <f t="shared" si="1"/>
        <v/>
      </c>
      <c r="D19" s="55"/>
      <c r="E19" s="228"/>
      <c r="F19" s="229"/>
      <c r="G19" s="51"/>
    </row>
    <row r="20" spans="1:7" s="52" customFormat="1" x14ac:dyDescent="0.3">
      <c r="A20" s="54"/>
      <c r="B20" s="54"/>
      <c r="C20" s="154" t="str">
        <f t="shared" si="1"/>
        <v/>
      </c>
      <c r="D20" s="55"/>
      <c r="E20" s="228"/>
      <c r="F20" s="229"/>
      <c r="G20" s="51"/>
    </row>
    <row r="21" spans="1:7" s="52" customFormat="1" x14ac:dyDescent="0.3">
      <c r="A21" s="54"/>
      <c r="B21" s="54"/>
      <c r="C21" s="154" t="str">
        <f t="shared" si="1"/>
        <v/>
      </c>
      <c r="D21" s="55"/>
      <c r="E21" s="228"/>
      <c r="F21" s="229"/>
      <c r="G21" s="51"/>
    </row>
    <row r="22" spans="1:7" s="52" customFormat="1" x14ac:dyDescent="0.3">
      <c r="A22" s="54"/>
      <c r="B22" s="54"/>
      <c r="C22" s="154" t="str">
        <f t="shared" si="1"/>
        <v/>
      </c>
      <c r="D22" s="55"/>
      <c r="E22" s="228"/>
      <c r="F22" s="229"/>
      <c r="G22" s="51"/>
    </row>
    <row r="23" spans="1:7" s="52" customFormat="1" ht="15" thickBot="1" x14ac:dyDescent="0.35">
      <c r="A23" s="56"/>
      <c r="B23" s="56"/>
      <c r="C23" s="155" t="str">
        <f t="shared" si="1"/>
        <v/>
      </c>
      <c r="D23" s="57"/>
      <c r="E23" s="232"/>
      <c r="F23" s="233"/>
      <c r="G23" s="51"/>
    </row>
    <row r="24" spans="1:7" s="52" customFormat="1" ht="15" thickBot="1" x14ac:dyDescent="0.35">
      <c r="A24" s="162" t="s">
        <v>29</v>
      </c>
      <c r="B24" s="83">
        <f>SUM(B16:B23)</f>
        <v>0</v>
      </c>
      <c r="C24" s="162" t="str">
        <f xml:space="preserve"> setValueToTime(B24)</f>
        <v>0h</v>
      </c>
      <c r="D24" s="121"/>
      <c r="E24" s="236"/>
      <c r="F24" s="237"/>
      <c r="G24" s="51"/>
    </row>
    <row r="25" spans="1:7" s="59" customFormat="1" ht="15" thickBot="1" x14ac:dyDescent="0.35">
      <c r="A25" s="77"/>
      <c r="B25" s="77"/>
      <c r="C25" s="77"/>
      <c r="D25" s="77"/>
      <c r="E25" s="77"/>
      <c r="F25" s="77"/>
      <c r="G25" s="58"/>
    </row>
    <row r="26" spans="1:7" s="47" customFormat="1" ht="30" customHeight="1" thickBot="1" x14ac:dyDescent="0.3">
      <c r="A26" s="156" t="s">
        <v>12</v>
      </c>
      <c r="B26" s="164">
        <v>24</v>
      </c>
      <c r="C26" s="164"/>
      <c r="D26" s="157" t="s">
        <v>15</v>
      </c>
      <c r="E26" s="158" t="s">
        <v>75</v>
      </c>
      <c r="F26" s="159" t="s">
        <v>45</v>
      </c>
      <c r="G26" s="46"/>
    </row>
    <row r="27" spans="1:7" s="47" customFormat="1" ht="30" customHeight="1" thickBot="1" x14ac:dyDescent="0.3">
      <c r="A27" s="78" t="s">
        <v>5</v>
      </c>
      <c r="B27" s="161" t="s">
        <v>41</v>
      </c>
      <c r="C27" s="160">
        <v>48</v>
      </c>
      <c r="D27" s="78" t="s">
        <v>13</v>
      </c>
      <c r="E27" s="234" t="s">
        <v>14</v>
      </c>
      <c r="F27" s="235"/>
      <c r="G27" s="46"/>
    </row>
    <row r="28" spans="1:7" s="52" customFormat="1" x14ac:dyDescent="0.3">
      <c r="A28" s="48"/>
      <c r="B28" s="49"/>
      <c r="C28" s="152" t="str">
        <f xml:space="preserve"> IF(B28="","",setValueToTime(B28))</f>
        <v/>
      </c>
      <c r="D28" s="50"/>
      <c r="E28" s="226"/>
      <c r="F28" s="227"/>
      <c r="G28" s="51"/>
    </row>
    <row r="29" spans="1:7" s="52" customFormat="1" x14ac:dyDescent="0.3">
      <c r="A29" s="53"/>
      <c r="B29" s="54"/>
      <c r="C29" s="153" t="str">
        <f t="shared" ref="C29:C35" si="2" xml:space="preserve"> IF(B29="","",setValueToTime(B29))</f>
        <v/>
      </c>
      <c r="D29" s="55"/>
      <c r="E29" s="228"/>
      <c r="F29" s="229"/>
      <c r="G29" s="51"/>
    </row>
    <row r="30" spans="1:7" s="52" customFormat="1" x14ac:dyDescent="0.3">
      <c r="A30" s="53"/>
      <c r="B30" s="54"/>
      <c r="C30" s="153" t="str">
        <f t="shared" si="2"/>
        <v/>
      </c>
      <c r="D30" s="55"/>
      <c r="E30" s="228"/>
      <c r="F30" s="229"/>
      <c r="G30" s="51"/>
    </row>
    <row r="31" spans="1:7" s="52" customFormat="1" x14ac:dyDescent="0.3">
      <c r="A31" s="53"/>
      <c r="B31" s="54"/>
      <c r="C31" s="153" t="str">
        <f t="shared" si="2"/>
        <v/>
      </c>
      <c r="D31" s="55"/>
      <c r="E31" s="228"/>
      <c r="F31" s="229"/>
      <c r="G31" s="51"/>
    </row>
    <row r="32" spans="1:7" s="52" customFormat="1" x14ac:dyDescent="0.3">
      <c r="A32" s="54"/>
      <c r="B32" s="54"/>
      <c r="C32" s="154" t="str">
        <f t="shared" si="2"/>
        <v/>
      </c>
      <c r="D32" s="55"/>
      <c r="E32" s="228"/>
      <c r="F32" s="229"/>
      <c r="G32" s="51"/>
    </row>
    <row r="33" spans="1:7" s="52" customFormat="1" x14ac:dyDescent="0.3">
      <c r="A33" s="54"/>
      <c r="B33" s="54"/>
      <c r="C33" s="154" t="str">
        <f t="shared" si="2"/>
        <v/>
      </c>
      <c r="D33" s="55"/>
      <c r="E33" s="228"/>
      <c r="F33" s="229"/>
      <c r="G33" s="51"/>
    </row>
    <row r="34" spans="1:7" s="52" customFormat="1" x14ac:dyDescent="0.3">
      <c r="A34" s="54"/>
      <c r="B34" s="54"/>
      <c r="C34" s="154" t="str">
        <f t="shared" si="2"/>
        <v/>
      </c>
      <c r="D34" s="55"/>
      <c r="E34" s="228"/>
      <c r="F34" s="229"/>
      <c r="G34" s="51"/>
    </row>
    <row r="35" spans="1:7" s="52" customFormat="1" ht="15" thickBot="1" x14ac:dyDescent="0.35">
      <c r="A35" s="56"/>
      <c r="B35" s="56"/>
      <c r="C35" s="155" t="str">
        <f t="shared" si="2"/>
        <v/>
      </c>
      <c r="D35" s="57"/>
      <c r="E35" s="232"/>
      <c r="F35" s="233"/>
      <c r="G35" s="51"/>
    </row>
    <row r="36" spans="1:7" s="52" customFormat="1" ht="15" thickBot="1" x14ac:dyDescent="0.35">
      <c r="A36" s="162" t="s">
        <v>29</v>
      </c>
      <c r="B36" s="83">
        <f>SUM(B28:B35)</f>
        <v>0</v>
      </c>
      <c r="C36" s="162" t="str">
        <f xml:space="preserve"> setValueToTime(B36)</f>
        <v>0h</v>
      </c>
      <c r="D36" s="121"/>
      <c r="E36" s="236"/>
      <c r="F36" s="237"/>
      <c r="G36" s="51"/>
    </row>
    <row r="37" spans="1:7" s="59" customFormat="1" ht="15" thickBot="1" x14ac:dyDescent="0.35">
      <c r="A37" s="77"/>
      <c r="B37" s="77"/>
      <c r="C37" s="77"/>
      <c r="D37" s="77"/>
      <c r="E37" s="77"/>
      <c r="F37" s="77"/>
      <c r="G37" s="58"/>
    </row>
    <row r="38" spans="1:7" s="47" customFormat="1" ht="30" customHeight="1" thickBot="1" x14ac:dyDescent="0.3">
      <c r="A38" s="156" t="s">
        <v>12</v>
      </c>
      <c r="B38" s="164">
        <v>23</v>
      </c>
      <c r="C38" s="164"/>
      <c r="D38" s="157" t="s">
        <v>15</v>
      </c>
      <c r="E38" s="158" t="s">
        <v>76</v>
      </c>
      <c r="F38" s="159" t="s">
        <v>44</v>
      </c>
      <c r="G38" s="46"/>
    </row>
    <row r="39" spans="1:7" s="47" customFormat="1" ht="30" customHeight="1" thickBot="1" x14ac:dyDescent="0.3">
      <c r="A39" s="78" t="s">
        <v>5</v>
      </c>
      <c r="B39" s="161" t="s">
        <v>41</v>
      </c>
      <c r="C39" s="160">
        <v>38</v>
      </c>
      <c r="D39" s="78" t="s">
        <v>13</v>
      </c>
      <c r="E39" s="234" t="s">
        <v>14</v>
      </c>
      <c r="F39" s="235"/>
      <c r="G39" s="46"/>
    </row>
    <row r="40" spans="1:7" s="52" customFormat="1" x14ac:dyDescent="0.3">
      <c r="A40" s="48"/>
      <c r="B40" s="49"/>
      <c r="C40" s="152" t="str">
        <f xml:space="preserve"> IF(B40="","",setValueToTime(B40))</f>
        <v/>
      </c>
      <c r="D40" s="50"/>
      <c r="E40" s="226"/>
      <c r="F40" s="227"/>
      <c r="G40" s="51"/>
    </row>
    <row r="41" spans="1:7" s="52" customFormat="1" x14ac:dyDescent="0.3">
      <c r="A41" s="53"/>
      <c r="B41" s="54"/>
      <c r="C41" s="153" t="str">
        <f t="shared" ref="C41:C47" si="3" xml:space="preserve"> IF(B41="","",setValueToTime(B41))</f>
        <v/>
      </c>
      <c r="D41" s="55"/>
      <c r="E41" s="228"/>
      <c r="F41" s="229"/>
      <c r="G41" s="51"/>
    </row>
    <row r="42" spans="1:7" s="52" customFormat="1" x14ac:dyDescent="0.3">
      <c r="A42" s="53"/>
      <c r="B42" s="54"/>
      <c r="C42" s="153" t="str">
        <f t="shared" si="3"/>
        <v/>
      </c>
      <c r="D42" s="55"/>
      <c r="E42" s="228"/>
      <c r="F42" s="229"/>
      <c r="G42" s="51"/>
    </row>
    <row r="43" spans="1:7" s="52" customFormat="1" x14ac:dyDescent="0.3">
      <c r="A43" s="53"/>
      <c r="B43" s="54"/>
      <c r="C43" s="153" t="str">
        <f t="shared" si="3"/>
        <v/>
      </c>
      <c r="D43" s="55"/>
      <c r="E43" s="228"/>
      <c r="F43" s="229"/>
      <c r="G43" s="51"/>
    </row>
    <row r="44" spans="1:7" s="52" customFormat="1" x14ac:dyDescent="0.3">
      <c r="A44" s="54"/>
      <c r="B44" s="54"/>
      <c r="C44" s="154" t="str">
        <f t="shared" si="3"/>
        <v/>
      </c>
      <c r="D44" s="55"/>
      <c r="E44" s="228"/>
      <c r="F44" s="229"/>
      <c r="G44" s="51"/>
    </row>
    <row r="45" spans="1:7" s="52" customFormat="1" x14ac:dyDescent="0.3">
      <c r="A45" s="54"/>
      <c r="B45" s="54"/>
      <c r="C45" s="154" t="str">
        <f t="shared" si="3"/>
        <v/>
      </c>
      <c r="D45" s="55"/>
      <c r="E45" s="228"/>
      <c r="F45" s="229"/>
      <c r="G45" s="51"/>
    </row>
    <row r="46" spans="1:7" s="52" customFormat="1" x14ac:dyDescent="0.3">
      <c r="A46" s="54"/>
      <c r="B46" s="54"/>
      <c r="C46" s="154" t="str">
        <f t="shared" si="3"/>
        <v/>
      </c>
      <c r="D46" s="55"/>
      <c r="E46" s="228"/>
      <c r="F46" s="229"/>
      <c r="G46" s="51"/>
    </row>
    <row r="47" spans="1:7" s="52" customFormat="1" ht="15" thickBot="1" x14ac:dyDescent="0.35">
      <c r="A47" s="56"/>
      <c r="B47" s="56"/>
      <c r="C47" s="155" t="str">
        <f t="shared" si="3"/>
        <v/>
      </c>
      <c r="D47" s="57"/>
      <c r="E47" s="232"/>
      <c r="F47" s="233"/>
      <c r="G47" s="51"/>
    </row>
    <row r="48" spans="1:7" s="52" customFormat="1" ht="15" thickBot="1" x14ac:dyDescent="0.35">
      <c r="A48" s="162" t="s">
        <v>29</v>
      </c>
      <c r="B48" s="83">
        <f>SUM(B40:B47)</f>
        <v>0</v>
      </c>
      <c r="C48" s="162" t="str">
        <f xml:space="preserve"> setValueToTime(B48)</f>
        <v>0h</v>
      </c>
      <c r="D48" s="121"/>
      <c r="E48" s="236"/>
      <c r="F48" s="237"/>
      <c r="G48" s="51"/>
    </row>
    <row r="49" spans="1:7" s="59" customFormat="1" ht="15" thickBot="1" x14ac:dyDescent="0.35">
      <c r="A49" s="77"/>
      <c r="B49" s="77"/>
      <c r="C49" s="77"/>
      <c r="D49" s="77"/>
      <c r="E49" s="77"/>
      <c r="F49" s="77"/>
      <c r="G49" s="58"/>
    </row>
    <row r="50" spans="1:7" s="47" customFormat="1" ht="30" customHeight="1" thickBot="1" x14ac:dyDescent="0.3">
      <c r="A50" s="156" t="s">
        <v>12</v>
      </c>
      <c r="B50" s="164">
        <v>22</v>
      </c>
      <c r="C50" s="164"/>
      <c r="D50" s="157" t="s">
        <v>15</v>
      </c>
      <c r="E50" s="158" t="s">
        <v>76</v>
      </c>
      <c r="F50" s="159" t="s">
        <v>45</v>
      </c>
      <c r="G50" s="46"/>
    </row>
    <row r="51" spans="1:7" s="47" customFormat="1" ht="30" customHeight="1" thickBot="1" x14ac:dyDescent="0.3">
      <c r="A51" s="78" t="s">
        <v>5</v>
      </c>
      <c r="B51" s="161" t="s">
        <v>41</v>
      </c>
      <c r="C51" s="160">
        <v>48</v>
      </c>
      <c r="D51" s="78" t="s">
        <v>13</v>
      </c>
      <c r="E51" s="234" t="s">
        <v>14</v>
      </c>
      <c r="F51" s="235"/>
      <c r="G51" s="46"/>
    </row>
    <row r="52" spans="1:7" s="52" customFormat="1" x14ac:dyDescent="0.3">
      <c r="A52" s="48"/>
      <c r="B52" s="49"/>
      <c r="C52" s="152" t="str">
        <f xml:space="preserve"> IF(B52="","",setValueToTime(B52))</f>
        <v/>
      </c>
      <c r="D52" s="50"/>
      <c r="E52" s="226"/>
      <c r="F52" s="227"/>
      <c r="G52" s="51"/>
    </row>
    <row r="53" spans="1:7" s="52" customFormat="1" x14ac:dyDescent="0.3">
      <c r="A53" s="53"/>
      <c r="B53" s="54"/>
      <c r="C53" s="153" t="str">
        <f t="shared" ref="C53:C59" si="4" xml:space="preserve"> IF(B53="","",setValueToTime(B53))</f>
        <v/>
      </c>
      <c r="D53" s="55"/>
      <c r="E53" s="228"/>
      <c r="F53" s="229"/>
      <c r="G53" s="51"/>
    </row>
    <row r="54" spans="1:7" s="52" customFormat="1" x14ac:dyDescent="0.3">
      <c r="A54" s="53"/>
      <c r="B54" s="54"/>
      <c r="C54" s="153" t="str">
        <f t="shared" si="4"/>
        <v/>
      </c>
      <c r="D54" s="55"/>
      <c r="E54" s="228"/>
      <c r="F54" s="229"/>
      <c r="G54" s="51"/>
    </row>
    <row r="55" spans="1:7" s="52" customFormat="1" x14ac:dyDescent="0.3">
      <c r="A55" s="53"/>
      <c r="B55" s="54"/>
      <c r="C55" s="153" t="str">
        <f t="shared" si="4"/>
        <v/>
      </c>
      <c r="D55" s="55"/>
      <c r="E55" s="228"/>
      <c r="F55" s="229"/>
      <c r="G55" s="51"/>
    </row>
    <row r="56" spans="1:7" s="52" customFormat="1" x14ac:dyDescent="0.3">
      <c r="A56" s="54"/>
      <c r="B56" s="54"/>
      <c r="C56" s="154" t="str">
        <f t="shared" si="4"/>
        <v/>
      </c>
      <c r="D56" s="55"/>
      <c r="E56" s="228"/>
      <c r="F56" s="229"/>
      <c r="G56" s="51"/>
    </row>
    <row r="57" spans="1:7" s="52" customFormat="1" x14ac:dyDescent="0.3">
      <c r="A57" s="54"/>
      <c r="B57" s="54"/>
      <c r="C57" s="154" t="str">
        <f t="shared" si="4"/>
        <v/>
      </c>
      <c r="D57" s="55"/>
      <c r="E57" s="228"/>
      <c r="F57" s="229"/>
      <c r="G57" s="51"/>
    </row>
    <row r="58" spans="1:7" s="52" customFormat="1" x14ac:dyDescent="0.3">
      <c r="A58" s="54"/>
      <c r="B58" s="54"/>
      <c r="C58" s="154" t="str">
        <f t="shared" si="4"/>
        <v/>
      </c>
      <c r="D58" s="55"/>
      <c r="E58" s="228"/>
      <c r="F58" s="229"/>
      <c r="G58" s="51"/>
    </row>
    <row r="59" spans="1:7" s="52" customFormat="1" ht="15" thickBot="1" x14ac:dyDescent="0.35">
      <c r="A59" s="56"/>
      <c r="B59" s="56"/>
      <c r="C59" s="155" t="str">
        <f t="shared" si="4"/>
        <v/>
      </c>
      <c r="D59" s="57"/>
      <c r="E59" s="232"/>
      <c r="F59" s="233"/>
      <c r="G59" s="51"/>
    </row>
    <row r="60" spans="1:7" s="52" customFormat="1" ht="15" thickBot="1" x14ac:dyDescent="0.35">
      <c r="A60" s="162" t="s">
        <v>29</v>
      </c>
      <c r="B60" s="83">
        <f>SUM(B52:B59)</f>
        <v>0</v>
      </c>
      <c r="C60" s="162" t="str">
        <f xml:space="preserve"> setValueToTime(B60)</f>
        <v>0h</v>
      </c>
      <c r="D60" s="121"/>
      <c r="E60" s="236"/>
      <c r="F60" s="237"/>
      <c r="G60" s="51"/>
    </row>
    <row r="61" spans="1:7" s="59" customFormat="1" ht="15" thickBot="1" x14ac:dyDescent="0.35">
      <c r="A61" s="77"/>
      <c r="B61" s="77"/>
      <c r="C61" s="77"/>
      <c r="D61" s="77"/>
      <c r="E61" s="77"/>
      <c r="F61" s="77"/>
      <c r="G61" s="58"/>
    </row>
    <row r="62" spans="1:7" s="47" customFormat="1" ht="30" customHeight="1" thickBot="1" x14ac:dyDescent="0.3">
      <c r="A62" s="156" t="s">
        <v>12</v>
      </c>
      <c r="B62" s="164">
        <v>21</v>
      </c>
      <c r="C62" s="164"/>
      <c r="D62" s="157" t="s">
        <v>15</v>
      </c>
      <c r="E62" s="158" t="s">
        <v>77</v>
      </c>
      <c r="F62" s="159" t="s">
        <v>45</v>
      </c>
      <c r="G62" s="46"/>
    </row>
    <row r="63" spans="1:7" s="47" customFormat="1" ht="30" customHeight="1" thickBot="1" x14ac:dyDescent="0.3">
      <c r="A63" s="78" t="s">
        <v>5</v>
      </c>
      <c r="B63" s="161" t="s">
        <v>41</v>
      </c>
      <c r="C63" s="160">
        <v>38</v>
      </c>
      <c r="D63" s="78" t="s">
        <v>13</v>
      </c>
      <c r="E63" s="234" t="s">
        <v>14</v>
      </c>
      <c r="F63" s="235"/>
      <c r="G63" s="46"/>
    </row>
    <row r="64" spans="1:7" s="52" customFormat="1" x14ac:dyDescent="0.3">
      <c r="A64" s="48"/>
      <c r="B64" s="49"/>
      <c r="C64" s="152" t="str">
        <f xml:space="preserve"> IF(B64="","",setValueToTime(B64))</f>
        <v/>
      </c>
      <c r="D64" s="50"/>
      <c r="E64" s="226"/>
      <c r="F64" s="227"/>
      <c r="G64" s="51"/>
    </row>
    <row r="65" spans="1:7" s="52" customFormat="1" x14ac:dyDescent="0.3">
      <c r="A65" s="53"/>
      <c r="B65" s="54"/>
      <c r="C65" s="153" t="str">
        <f t="shared" ref="C65:C71" si="5" xml:space="preserve"> IF(B65="","",setValueToTime(B65))</f>
        <v/>
      </c>
      <c r="D65" s="55"/>
      <c r="E65" s="228"/>
      <c r="F65" s="229"/>
      <c r="G65" s="51"/>
    </row>
    <row r="66" spans="1:7" s="52" customFormat="1" x14ac:dyDescent="0.3">
      <c r="A66" s="53"/>
      <c r="B66" s="54"/>
      <c r="C66" s="153" t="str">
        <f t="shared" si="5"/>
        <v/>
      </c>
      <c r="D66" s="55"/>
      <c r="E66" s="228"/>
      <c r="F66" s="229"/>
      <c r="G66" s="51"/>
    </row>
    <row r="67" spans="1:7" s="52" customFormat="1" x14ac:dyDescent="0.3">
      <c r="A67" s="53"/>
      <c r="B67" s="54"/>
      <c r="C67" s="153" t="str">
        <f t="shared" si="5"/>
        <v/>
      </c>
      <c r="D67" s="55"/>
      <c r="E67" s="228"/>
      <c r="F67" s="229"/>
      <c r="G67" s="51"/>
    </row>
    <row r="68" spans="1:7" s="52" customFormat="1" x14ac:dyDescent="0.3">
      <c r="A68" s="54"/>
      <c r="B68" s="54"/>
      <c r="C68" s="154" t="str">
        <f t="shared" si="5"/>
        <v/>
      </c>
      <c r="D68" s="55"/>
      <c r="E68" s="228"/>
      <c r="F68" s="229"/>
      <c r="G68" s="51"/>
    </row>
    <row r="69" spans="1:7" s="52" customFormat="1" x14ac:dyDescent="0.3">
      <c r="A69" s="54"/>
      <c r="B69" s="54"/>
      <c r="C69" s="154" t="str">
        <f t="shared" si="5"/>
        <v/>
      </c>
      <c r="D69" s="55"/>
      <c r="E69" s="228"/>
      <c r="F69" s="229"/>
      <c r="G69" s="51"/>
    </row>
    <row r="70" spans="1:7" s="52" customFormat="1" x14ac:dyDescent="0.3">
      <c r="A70" s="54"/>
      <c r="B70" s="54"/>
      <c r="C70" s="154" t="str">
        <f t="shared" si="5"/>
        <v/>
      </c>
      <c r="D70" s="55"/>
      <c r="E70" s="228"/>
      <c r="F70" s="229"/>
      <c r="G70" s="51"/>
    </row>
    <row r="71" spans="1:7" s="52" customFormat="1" ht="15" thickBot="1" x14ac:dyDescent="0.35">
      <c r="A71" s="56"/>
      <c r="B71" s="56"/>
      <c r="C71" s="155" t="str">
        <f t="shared" si="5"/>
        <v/>
      </c>
      <c r="D71" s="57"/>
      <c r="E71" s="232"/>
      <c r="F71" s="233"/>
      <c r="G71" s="51"/>
    </row>
    <row r="72" spans="1:7" s="52" customFormat="1" ht="15" thickBot="1" x14ac:dyDescent="0.35">
      <c r="A72" s="162" t="s">
        <v>29</v>
      </c>
      <c r="B72" s="83">
        <f>SUM(B64:B71)</f>
        <v>0</v>
      </c>
      <c r="C72" s="162" t="str">
        <f xml:space="preserve"> setValueToTime(B72)</f>
        <v>0h</v>
      </c>
      <c r="D72" s="121"/>
      <c r="E72" s="236"/>
      <c r="F72" s="237"/>
      <c r="G72" s="51"/>
    </row>
    <row r="73" spans="1:7" s="59" customFormat="1" ht="15" thickBot="1" x14ac:dyDescent="0.35">
      <c r="A73" s="77"/>
      <c r="B73" s="77"/>
      <c r="C73" s="77"/>
      <c r="D73" s="77"/>
      <c r="E73" s="77"/>
      <c r="F73" s="77"/>
      <c r="G73" s="58"/>
    </row>
    <row r="74" spans="1:7" s="47" customFormat="1" ht="30" customHeight="1" thickBot="1" x14ac:dyDescent="0.3">
      <c r="A74" s="156" t="s">
        <v>12</v>
      </c>
      <c r="B74" s="164">
        <v>20</v>
      </c>
      <c r="C74" s="164"/>
      <c r="D74" s="157" t="s">
        <v>15</v>
      </c>
      <c r="E74" s="158" t="s">
        <v>78</v>
      </c>
      <c r="F74" s="159" t="s">
        <v>44</v>
      </c>
      <c r="G74" s="46"/>
    </row>
    <row r="75" spans="1:7" s="47" customFormat="1" ht="30" customHeight="1" thickBot="1" x14ac:dyDescent="0.3">
      <c r="A75" s="78" t="s">
        <v>5</v>
      </c>
      <c r="B75" s="161" t="s">
        <v>41</v>
      </c>
      <c r="C75" s="160">
        <v>38</v>
      </c>
      <c r="D75" s="78" t="s">
        <v>13</v>
      </c>
      <c r="E75" s="234" t="s">
        <v>14</v>
      </c>
      <c r="F75" s="235"/>
      <c r="G75" s="46"/>
    </row>
    <row r="76" spans="1:7" s="52" customFormat="1" x14ac:dyDescent="0.3">
      <c r="A76" s="48"/>
      <c r="B76" s="49"/>
      <c r="C76" s="152" t="str">
        <f xml:space="preserve"> IF(B76="","",setValueToTime(B76))</f>
        <v/>
      </c>
      <c r="D76" s="50"/>
      <c r="E76" s="226"/>
      <c r="F76" s="227"/>
      <c r="G76" s="51"/>
    </row>
    <row r="77" spans="1:7" s="52" customFormat="1" x14ac:dyDescent="0.3">
      <c r="A77" s="53"/>
      <c r="B77" s="54"/>
      <c r="C77" s="153" t="str">
        <f t="shared" ref="C77:C83" si="6" xml:space="preserve"> IF(B77="","",setValueToTime(B77))</f>
        <v/>
      </c>
      <c r="D77" s="55"/>
      <c r="E77" s="228"/>
      <c r="F77" s="229"/>
      <c r="G77" s="51"/>
    </row>
    <row r="78" spans="1:7" s="52" customFormat="1" x14ac:dyDescent="0.3">
      <c r="A78" s="53"/>
      <c r="B78" s="54"/>
      <c r="C78" s="153" t="str">
        <f t="shared" si="6"/>
        <v/>
      </c>
      <c r="D78" s="55"/>
      <c r="E78" s="228"/>
      <c r="F78" s="229"/>
      <c r="G78" s="51"/>
    </row>
    <row r="79" spans="1:7" s="52" customFormat="1" x14ac:dyDescent="0.3">
      <c r="A79" s="53"/>
      <c r="B79" s="54"/>
      <c r="C79" s="153" t="str">
        <f t="shared" si="6"/>
        <v/>
      </c>
      <c r="D79" s="55"/>
      <c r="E79" s="228"/>
      <c r="F79" s="229"/>
      <c r="G79" s="51"/>
    </row>
    <row r="80" spans="1:7" s="52" customFormat="1" x14ac:dyDescent="0.3">
      <c r="A80" s="54"/>
      <c r="B80" s="54"/>
      <c r="C80" s="154" t="str">
        <f t="shared" si="6"/>
        <v/>
      </c>
      <c r="D80" s="55"/>
      <c r="E80" s="228"/>
      <c r="F80" s="229"/>
      <c r="G80" s="51"/>
    </row>
    <row r="81" spans="1:7" s="52" customFormat="1" x14ac:dyDescent="0.3">
      <c r="A81" s="54"/>
      <c r="B81" s="54"/>
      <c r="C81" s="154" t="str">
        <f t="shared" si="6"/>
        <v/>
      </c>
      <c r="D81" s="55"/>
      <c r="E81" s="228"/>
      <c r="F81" s="229"/>
      <c r="G81" s="51"/>
    </row>
    <row r="82" spans="1:7" s="52" customFormat="1" x14ac:dyDescent="0.3">
      <c r="A82" s="54"/>
      <c r="B82" s="54"/>
      <c r="C82" s="154" t="str">
        <f t="shared" si="6"/>
        <v/>
      </c>
      <c r="D82" s="55"/>
      <c r="E82" s="228"/>
      <c r="F82" s="229"/>
      <c r="G82" s="51"/>
    </row>
    <row r="83" spans="1:7" s="52" customFormat="1" ht="15" thickBot="1" x14ac:dyDescent="0.35">
      <c r="A83" s="56"/>
      <c r="B83" s="56"/>
      <c r="C83" s="155" t="str">
        <f t="shared" si="6"/>
        <v/>
      </c>
      <c r="D83" s="57"/>
      <c r="E83" s="232"/>
      <c r="F83" s="233"/>
      <c r="G83" s="51"/>
    </row>
    <row r="84" spans="1:7" s="52" customFormat="1" ht="15" thickBot="1" x14ac:dyDescent="0.35">
      <c r="A84" s="162" t="s">
        <v>29</v>
      </c>
      <c r="B84" s="83">
        <f>SUM(B76:B83)</f>
        <v>0</v>
      </c>
      <c r="C84" s="162" t="str">
        <f xml:space="preserve"> setValueToTime(B84)</f>
        <v>0h</v>
      </c>
      <c r="D84" s="121"/>
      <c r="E84" s="236"/>
      <c r="F84" s="237"/>
      <c r="G84" s="51"/>
    </row>
    <row r="85" spans="1:7" s="59" customFormat="1" ht="15" thickBot="1" x14ac:dyDescent="0.35">
      <c r="A85" s="77"/>
      <c r="B85" s="77"/>
      <c r="C85" s="77"/>
      <c r="D85" s="77"/>
      <c r="E85" s="77"/>
      <c r="F85" s="77"/>
      <c r="G85" s="58"/>
    </row>
    <row r="86" spans="1:7" s="47" customFormat="1" ht="30" customHeight="1" thickBot="1" x14ac:dyDescent="0.3">
      <c r="A86" s="156" t="s">
        <v>12</v>
      </c>
      <c r="B86" s="164">
        <v>19</v>
      </c>
      <c r="C86" s="164"/>
      <c r="D86" s="157" t="s">
        <v>15</v>
      </c>
      <c r="E86" s="158" t="s">
        <v>78</v>
      </c>
      <c r="F86" s="159" t="s">
        <v>45</v>
      </c>
      <c r="G86" s="46"/>
    </row>
    <row r="87" spans="1:7" s="47" customFormat="1" ht="30" customHeight="1" thickBot="1" x14ac:dyDescent="0.3">
      <c r="A87" s="78" t="s">
        <v>5</v>
      </c>
      <c r="B87" s="161" t="s">
        <v>41</v>
      </c>
      <c r="C87" s="160">
        <v>38</v>
      </c>
      <c r="D87" s="78" t="s">
        <v>13</v>
      </c>
      <c r="E87" s="234" t="s">
        <v>14</v>
      </c>
      <c r="F87" s="235"/>
      <c r="G87" s="46"/>
    </row>
    <row r="88" spans="1:7" s="52" customFormat="1" x14ac:dyDescent="0.3">
      <c r="A88" s="48"/>
      <c r="B88" s="49"/>
      <c r="C88" s="152" t="str">
        <f xml:space="preserve"> IF(B88="","",setValueToTime(B88))</f>
        <v/>
      </c>
      <c r="D88" s="50"/>
      <c r="E88" s="226"/>
      <c r="F88" s="227"/>
      <c r="G88" s="51"/>
    </row>
    <row r="89" spans="1:7" s="52" customFormat="1" x14ac:dyDescent="0.3">
      <c r="A89" s="53"/>
      <c r="B89" s="54"/>
      <c r="C89" s="153" t="str">
        <f t="shared" ref="C89:C95" si="7" xml:space="preserve"> IF(B89="","",setValueToTime(B89))</f>
        <v/>
      </c>
      <c r="D89" s="55"/>
      <c r="E89" s="228"/>
      <c r="F89" s="229"/>
      <c r="G89" s="51"/>
    </row>
    <row r="90" spans="1:7" s="52" customFormat="1" x14ac:dyDescent="0.3">
      <c r="A90" s="53"/>
      <c r="B90" s="54"/>
      <c r="C90" s="153" t="str">
        <f t="shared" si="7"/>
        <v/>
      </c>
      <c r="D90" s="55"/>
      <c r="E90" s="228"/>
      <c r="F90" s="229"/>
      <c r="G90" s="51"/>
    </row>
    <row r="91" spans="1:7" s="52" customFormat="1" x14ac:dyDescent="0.3">
      <c r="A91" s="53"/>
      <c r="B91" s="54"/>
      <c r="C91" s="153" t="str">
        <f t="shared" si="7"/>
        <v/>
      </c>
      <c r="D91" s="55"/>
      <c r="E91" s="228"/>
      <c r="F91" s="229"/>
      <c r="G91" s="51"/>
    </row>
    <row r="92" spans="1:7" s="52" customFormat="1" x14ac:dyDescent="0.3">
      <c r="A92" s="54"/>
      <c r="B92" s="54"/>
      <c r="C92" s="154" t="str">
        <f t="shared" si="7"/>
        <v/>
      </c>
      <c r="D92" s="55"/>
      <c r="E92" s="228"/>
      <c r="F92" s="229"/>
      <c r="G92" s="51"/>
    </row>
    <row r="93" spans="1:7" s="52" customFormat="1" x14ac:dyDescent="0.3">
      <c r="A93" s="54"/>
      <c r="B93" s="54"/>
      <c r="C93" s="154" t="str">
        <f t="shared" si="7"/>
        <v/>
      </c>
      <c r="D93" s="55"/>
      <c r="E93" s="228"/>
      <c r="F93" s="229"/>
      <c r="G93" s="51"/>
    </row>
    <row r="94" spans="1:7" s="52" customFormat="1" x14ac:dyDescent="0.3">
      <c r="A94" s="54"/>
      <c r="B94" s="54"/>
      <c r="C94" s="154" t="str">
        <f t="shared" si="7"/>
        <v/>
      </c>
      <c r="D94" s="55"/>
      <c r="E94" s="228"/>
      <c r="F94" s="229"/>
      <c r="G94" s="51"/>
    </row>
    <row r="95" spans="1:7" s="52" customFormat="1" ht="15" thickBot="1" x14ac:dyDescent="0.35">
      <c r="A95" s="56"/>
      <c r="B95" s="56"/>
      <c r="C95" s="155" t="str">
        <f t="shared" si="7"/>
        <v/>
      </c>
      <c r="D95" s="57"/>
      <c r="E95" s="232"/>
      <c r="F95" s="233"/>
      <c r="G95" s="51"/>
    </row>
    <row r="96" spans="1:7" s="52" customFormat="1" ht="15" thickBot="1" x14ac:dyDescent="0.35">
      <c r="A96" s="162" t="s">
        <v>29</v>
      </c>
      <c r="B96" s="83">
        <f>SUM(B88:B95)</f>
        <v>0</v>
      </c>
      <c r="C96" s="162" t="str">
        <f xml:space="preserve"> setValueToTime(B96)</f>
        <v>0h</v>
      </c>
      <c r="D96" s="121"/>
      <c r="E96" s="236"/>
      <c r="F96" s="237"/>
      <c r="G96" s="51"/>
    </row>
    <row r="97" spans="1:7" s="59" customFormat="1" ht="15" thickBot="1" x14ac:dyDescent="0.35">
      <c r="A97" s="77"/>
      <c r="B97" s="77"/>
      <c r="C97" s="77"/>
      <c r="D97" s="77"/>
      <c r="E97" s="77"/>
      <c r="F97" s="77"/>
      <c r="G97" s="58"/>
    </row>
    <row r="98" spans="1:7" s="47" customFormat="1" ht="30" customHeight="1" thickBot="1" x14ac:dyDescent="0.3">
      <c r="A98" s="156" t="s">
        <v>12</v>
      </c>
      <c r="B98" s="164">
        <v>18</v>
      </c>
      <c r="C98" s="164"/>
      <c r="D98" s="157" t="s">
        <v>15</v>
      </c>
      <c r="E98" s="158" t="s">
        <v>79</v>
      </c>
      <c r="F98" s="159" t="s">
        <v>45</v>
      </c>
      <c r="G98" s="46"/>
    </row>
    <row r="99" spans="1:7" s="47" customFormat="1" ht="30" customHeight="1" thickBot="1" x14ac:dyDescent="0.3">
      <c r="A99" s="78" t="s">
        <v>5</v>
      </c>
      <c r="B99" s="161" t="s">
        <v>41</v>
      </c>
      <c r="C99" s="160">
        <v>48</v>
      </c>
      <c r="D99" s="78" t="s">
        <v>13</v>
      </c>
      <c r="E99" s="234" t="s">
        <v>14</v>
      </c>
      <c r="F99" s="235"/>
      <c r="G99" s="46"/>
    </row>
    <row r="100" spans="1:7" s="52" customFormat="1" x14ac:dyDescent="0.3">
      <c r="A100" s="48"/>
      <c r="B100" s="49"/>
      <c r="C100" s="152" t="str">
        <f xml:space="preserve"> IF(B100="","",setValueToTime(B100))</f>
        <v/>
      </c>
      <c r="D100" s="50"/>
      <c r="E100" s="226"/>
      <c r="F100" s="227"/>
      <c r="G100" s="51"/>
    </row>
    <row r="101" spans="1:7" s="52" customFormat="1" x14ac:dyDescent="0.3">
      <c r="A101" s="53"/>
      <c r="B101" s="54"/>
      <c r="C101" s="153" t="str">
        <f t="shared" ref="C101:C107" si="8" xml:space="preserve"> IF(B101="","",setValueToTime(B101))</f>
        <v/>
      </c>
      <c r="D101" s="55"/>
      <c r="E101" s="228"/>
      <c r="F101" s="229"/>
      <c r="G101" s="51"/>
    </row>
    <row r="102" spans="1:7" s="52" customFormat="1" x14ac:dyDescent="0.3">
      <c r="A102" s="53"/>
      <c r="B102" s="54"/>
      <c r="C102" s="153" t="str">
        <f t="shared" si="8"/>
        <v/>
      </c>
      <c r="D102" s="55"/>
      <c r="E102" s="228"/>
      <c r="F102" s="229"/>
      <c r="G102" s="51"/>
    </row>
    <row r="103" spans="1:7" s="52" customFormat="1" x14ac:dyDescent="0.3">
      <c r="A103" s="53"/>
      <c r="B103" s="54"/>
      <c r="C103" s="153" t="str">
        <f t="shared" si="8"/>
        <v/>
      </c>
      <c r="D103" s="55"/>
      <c r="E103" s="228"/>
      <c r="F103" s="229"/>
      <c r="G103" s="51"/>
    </row>
    <row r="104" spans="1:7" s="52" customFormat="1" x14ac:dyDescent="0.3">
      <c r="A104" s="54"/>
      <c r="B104" s="54"/>
      <c r="C104" s="154" t="str">
        <f t="shared" si="8"/>
        <v/>
      </c>
      <c r="D104" s="55"/>
      <c r="E104" s="228"/>
      <c r="F104" s="229"/>
      <c r="G104" s="51"/>
    </row>
    <row r="105" spans="1:7" s="52" customFormat="1" x14ac:dyDescent="0.3">
      <c r="A105" s="54"/>
      <c r="B105" s="54"/>
      <c r="C105" s="154" t="str">
        <f t="shared" si="8"/>
        <v/>
      </c>
      <c r="D105" s="55"/>
      <c r="E105" s="228"/>
      <c r="F105" s="229"/>
      <c r="G105" s="51"/>
    </row>
    <row r="106" spans="1:7" s="52" customFormat="1" x14ac:dyDescent="0.3">
      <c r="A106" s="54"/>
      <c r="B106" s="54"/>
      <c r="C106" s="154" t="str">
        <f t="shared" si="8"/>
        <v/>
      </c>
      <c r="D106" s="55"/>
      <c r="E106" s="228"/>
      <c r="F106" s="229"/>
      <c r="G106" s="51"/>
    </row>
    <row r="107" spans="1:7" s="52" customFormat="1" ht="15" thickBot="1" x14ac:dyDescent="0.35">
      <c r="A107" s="56"/>
      <c r="B107" s="56"/>
      <c r="C107" s="155" t="str">
        <f t="shared" si="8"/>
        <v/>
      </c>
      <c r="D107" s="57"/>
      <c r="E107" s="232"/>
      <c r="F107" s="233"/>
      <c r="G107" s="51"/>
    </row>
    <row r="108" spans="1:7" s="52" customFormat="1" ht="15" thickBot="1" x14ac:dyDescent="0.35">
      <c r="A108" s="162" t="s">
        <v>29</v>
      </c>
      <c r="B108" s="83">
        <f>SUM(B100:B107)</f>
        <v>0</v>
      </c>
      <c r="C108" s="162" t="str">
        <f xml:space="preserve"> setValueToTime(B108)</f>
        <v>0h</v>
      </c>
      <c r="D108" s="121"/>
      <c r="E108" s="236"/>
      <c r="F108" s="237"/>
      <c r="G108" s="51"/>
    </row>
    <row r="109" spans="1:7" s="59" customFormat="1" ht="15" thickBot="1" x14ac:dyDescent="0.35">
      <c r="A109" s="77"/>
      <c r="B109" s="77"/>
      <c r="C109" s="77"/>
      <c r="D109" s="77"/>
      <c r="E109" s="77"/>
      <c r="F109" s="77"/>
      <c r="G109" s="58"/>
    </row>
    <row r="110" spans="1:7" s="47" customFormat="1" ht="30" customHeight="1" thickBot="1" x14ac:dyDescent="0.3">
      <c r="A110" s="156" t="s">
        <v>12</v>
      </c>
      <c r="B110" s="164">
        <v>17</v>
      </c>
      <c r="C110" s="164"/>
      <c r="D110" s="157" t="s">
        <v>15</v>
      </c>
      <c r="E110" s="158" t="s">
        <v>80</v>
      </c>
      <c r="F110" s="159" t="s">
        <v>44</v>
      </c>
      <c r="G110" s="46"/>
    </row>
    <row r="111" spans="1:7" s="47" customFormat="1" ht="30" customHeight="1" thickBot="1" x14ac:dyDescent="0.3">
      <c r="A111" s="78" t="s">
        <v>5</v>
      </c>
      <c r="B111" s="161" t="s">
        <v>41</v>
      </c>
      <c r="C111" s="160">
        <v>38</v>
      </c>
      <c r="D111" s="78" t="s">
        <v>13</v>
      </c>
      <c r="E111" s="234" t="s">
        <v>14</v>
      </c>
      <c r="F111" s="235"/>
      <c r="G111" s="46"/>
    </row>
    <row r="112" spans="1:7" s="52" customFormat="1" x14ac:dyDescent="0.3">
      <c r="A112" s="48"/>
      <c r="B112" s="49"/>
      <c r="C112" s="152" t="str">
        <f xml:space="preserve"> IF(B112="","",setValueToTime(B112))</f>
        <v/>
      </c>
      <c r="D112" s="50"/>
      <c r="E112" s="226"/>
      <c r="F112" s="227"/>
      <c r="G112" s="51"/>
    </row>
    <row r="113" spans="1:7" s="52" customFormat="1" x14ac:dyDescent="0.3">
      <c r="A113" s="53"/>
      <c r="B113" s="54"/>
      <c r="C113" s="153" t="str">
        <f t="shared" ref="C113:C119" si="9" xml:space="preserve"> IF(B113="","",setValueToTime(B113))</f>
        <v/>
      </c>
      <c r="D113" s="55"/>
      <c r="E113" s="228"/>
      <c r="F113" s="229"/>
      <c r="G113" s="51"/>
    </row>
    <row r="114" spans="1:7" s="52" customFormat="1" x14ac:dyDescent="0.3">
      <c r="A114" s="53"/>
      <c r="B114" s="54"/>
      <c r="C114" s="153" t="str">
        <f t="shared" si="9"/>
        <v/>
      </c>
      <c r="D114" s="55"/>
      <c r="E114" s="228"/>
      <c r="F114" s="229"/>
      <c r="G114" s="51"/>
    </row>
    <row r="115" spans="1:7" s="52" customFormat="1" x14ac:dyDescent="0.3">
      <c r="A115" s="53"/>
      <c r="B115" s="54"/>
      <c r="C115" s="153" t="str">
        <f t="shared" si="9"/>
        <v/>
      </c>
      <c r="D115" s="55"/>
      <c r="E115" s="228"/>
      <c r="F115" s="229"/>
      <c r="G115" s="51"/>
    </row>
    <row r="116" spans="1:7" s="52" customFormat="1" x14ac:dyDescent="0.3">
      <c r="A116" s="54"/>
      <c r="B116" s="54"/>
      <c r="C116" s="154" t="str">
        <f t="shared" si="9"/>
        <v/>
      </c>
      <c r="D116" s="55"/>
      <c r="E116" s="228"/>
      <c r="F116" s="229"/>
      <c r="G116" s="51"/>
    </row>
    <row r="117" spans="1:7" s="52" customFormat="1" x14ac:dyDescent="0.3">
      <c r="A117" s="54"/>
      <c r="B117" s="54"/>
      <c r="C117" s="154" t="str">
        <f t="shared" si="9"/>
        <v/>
      </c>
      <c r="D117" s="55"/>
      <c r="E117" s="228"/>
      <c r="F117" s="229"/>
      <c r="G117" s="51"/>
    </row>
    <row r="118" spans="1:7" s="52" customFormat="1" x14ac:dyDescent="0.3">
      <c r="A118" s="54"/>
      <c r="B118" s="54"/>
      <c r="C118" s="154" t="str">
        <f t="shared" si="9"/>
        <v/>
      </c>
      <c r="D118" s="55"/>
      <c r="E118" s="228"/>
      <c r="F118" s="229"/>
      <c r="G118" s="51"/>
    </row>
    <row r="119" spans="1:7" s="52" customFormat="1" ht="15" thickBot="1" x14ac:dyDescent="0.35">
      <c r="A119" s="56"/>
      <c r="B119" s="56"/>
      <c r="C119" s="155" t="str">
        <f t="shared" si="9"/>
        <v/>
      </c>
      <c r="D119" s="57"/>
      <c r="E119" s="232"/>
      <c r="F119" s="233"/>
      <c r="G119" s="51"/>
    </row>
    <row r="120" spans="1:7" s="52" customFormat="1" ht="15" thickBot="1" x14ac:dyDescent="0.35">
      <c r="A120" s="162" t="s">
        <v>29</v>
      </c>
      <c r="B120" s="83">
        <f>SUM(B112:B119)</f>
        <v>0</v>
      </c>
      <c r="C120" s="162" t="str">
        <f xml:space="preserve"> setValueToTime(B120)</f>
        <v>0h</v>
      </c>
      <c r="D120" s="121"/>
      <c r="E120" s="236"/>
      <c r="F120" s="237"/>
      <c r="G120" s="51"/>
    </row>
    <row r="121" spans="1:7" s="59" customFormat="1" ht="15" thickBot="1" x14ac:dyDescent="0.35">
      <c r="A121" s="77"/>
      <c r="B121" s="77"/>
      <c r="C121" s="77"/>
      <c r="D121" s="77"/>
      <c r="E121" s="77"/>
      <c r="F121" s="77"/>
      <c r="G121" s="58"/>
    </row>
    <row r="122" spans="1:7" s="47" customFormat="1" ht="30" customHeight="1" thickBot="1" x14ac:dyDescent="0.3">
      <c r="A122" s="156" t="s">
        <v>12</v>
      </c>
      <c r="B122" s="164">
        <v>16</v>
      </c>
      <c r="C122" s="164"/>
      <c r="D122" s="157" t="s">
        <v>15</v>
      </c>
      <c r="E122" s="158" t="s">
        <v>80</v>
      </c>
      <c r="F122" s="159" t="s">
        <v>45</v>
      </c>
      <c r="G122" s="46"/>
    </row>
    <row r="123" spans="1:7" s="47" customFormat="1" ht="30" customHeight="1" thickBot="1" x14ac:dyDescent="0.3">
      <c r="A123" s="78" t="s">
        <v>5</v>
      </c>
      <c r="B123" s="161" t="s">
        <v>41</v>
      </c>
      <c r="C123" s="160">
        <v>48</v>
      </c>
      <c r="D123" s="78" t="s">
        <v>13</v>
      </c>
      <c r="E123" s="234" t="s">
        <v>14</v>
      </c>
      <c r="F123" s="235"/>
      <c r="G123" s="46"/>
    </row>
    <row r="124" spans="1:7" s="52" customFormat="1" x14ac:dyDescent="0.3">
      <c r="A124" s="48"/>
      <c r="B124" s="49"/>
      <c r="C124" s="152" t="str">
        <f xml:space="preserve"> IF(B124="","",setValueToTime(B124))</f>
        <v/>
      </c>
      <c r="D124" s="50"/>
      <c r="E124" s="226"/>
      <c r="F124" s="227"/>
      <c r="G124" s="51"/>
    </row>
    <row r="125" spans="1:7" s="52" customFormat="1" x14ac:dyDescent="0.3">
      <c r="A125" s="53"/>
      <c r="B125" s="54"/>
      <c r="C125" s="153" t="str">
        <f t="shared" ref="C125:C131" si="10" xml:space="preserve"> IF(B125="","",setValueToTime(B125))</f>
        <v/>
      </c>
      <c r="D125" s="55"/>
      <c r="E125" s="228"/>
      <c r="F125" s="229"/>
      <c r="G125" s="51"/>
    </row>
    <row r="126" spans="1:7" s="52" customFormat="1" x14ac:dyDescent="0.3">
      <c r="A126" s="53"/>
      <c r="B126" s="54"/>
      <c r="C126" s="153" t="str">
        <f t="shared" si="10"/>
        <v/>
      </c>
      <c r="D126" s="55"/>
      <c r="E126" s="228"/>
      <c r="F126" s="229"/>
      <c r="G126" s="51"/>
    </row>
    <row r="127" spans="1:7" s="52" customFormat="1" x14ac:dyDescent="0.3">
      <c r="A127" s="53"/>
      <c r="B127" s="54"/>
      <c r="C127" s="153" t="str">
        <f t="shared" si="10"/>
        <v/>
      </c>
      <c r="D127" s="55"/>
      <c r="E127" s="228"/>
      <c r="F127" s="229"/>
      <c r="G127" s="51"/>
    </row>
    <row r="128" spans="1:7" s="52" customFormat="1" x14ac:dyDescent="0.3">
      <c r="A128" s="54"/>
      <c r="B128" s="54"/>
      <c r="C128" s="154" t="str">
        <f t="shared" si="10"/>
        <v/>
      </c>
      <c r="D128" s="55"/>
      <c r="E128" s="228"/>
      <c r="F128" s="229"/>
      <c r="G128" s="51"/>
    </row>
    <row r="129" spans="1:7" s="52" customFormat="1" x14ac:dyDescent="0.3">
      <c r="A129" s="54"/>
      <c r="B129" s="54"/>
      <c r="C129" s="154" t="str">
        <f t="shared" si="10"/>
        <v/>
      </c>
      <c r="D129" s="55"/>
      <c r="E129" s="228"/>
      <c r="F129" s="229"/>
      <c r="G129" s="51"/>
    </row>
    <row r="130" spans="1:7" s="52" customFormat="1" x14ac:dyDescent="0.3">
      <c r="A130" s="54"/>
      <c r="B130" s="54"/>
      <c r="C130" s="154" t="str">
        <f t="shared" si="10"/>
        <v/>
      </c>
      <c r="D130" s="55"/>
      <c r="E130" s="228"/>
      <c r="F130" s="229"/>
      <c r="G130" s="51"/>
    </row>
    <row r="131" spans="1:7" s="52" customFormat="1" ht="15" thickBot="1" x14ac:dyDescent="0.35">
      <c r="A131" s="56"/>
      <c r="B131" s="56"/>
      <c r="C131" s="155" t="str">
        <f t="shared" si="10"/>
        <v/>
      </c>
      <c r="D131" s="57"/>
      <c r="E131" s="232"/>
      <c r="F131" s="233"/>
      <c r="G131" s="51"/>
    </row>
    <row r="132" spans="1:7" s="52" customFormat="1" ht="15" thickBot="1" x14ac:dyDescent="0.35">
      <c r="A132" s="162" t="s">
        <v>29</v>
      </c>
      <c r="B132" s="83">
        <f>SUM(B124:B131)</f>
        <v>0</v>
      </c>
      <c r="C132" s="162" t="str">
        <f xml:space="preserve"> setValueToTime(B132)</f>
        <v>0h</v>
      </c>
      <c r="D132" s="121"/>
      <c r="E132" s="236"/>
      <c r="F132" s="237"/>
      <c r="G132" s="51"/>
    </row>
    <row r="133" spans="1:7" s="59" customFormat="1" ht="15" thickBot="1" x14ac:dyDescent="0.35">
      <c r="A133" s="77"/>
      <c r="B133" s="77"/>
      <c r="C133" s="77"/>
      <c r="D133" s="77"/>
      <c r="E133" s="77"/>
      <c r="F133" s="77"/>
      <c r="G133" s="58"/>
    </row>
    <row r="134" spans="1:7" s="47" customFormat="1" ht="30" customHeight="1" thickBot="1" x14ac:dyDescent="0.3">
      <c r="A134" s="156" t="s">
        <v>12</v>
      </c>
      <c r="B134" s="164">
        <v>15</v>
      </c>
      <c r="C134" s="164"/>
      <c r="D134" s="157" t="s">
        <v>15</v>
      </c>
      <c r="E134" s="158" t="s">
        <v>81</v>
      </c>
      <c r="F134" s="159" t="s">
        <v>44</v>
      </c>
      <c r="G134" s="46"/>
    </row>
    <row r="135" spans="1:7" s="47" customFormat="1" ht="30" customHeight="1" thickBot="1" x14ac:dyDescent="0.3">
      <c r="A135" s="78" t="s">
        <v>5</v>
      </c>
      <c r="B135" s="161" t="s">
        <v>41</v>
      </c>
      <c r="C135" s="160">
        <v>38</v>
      </c>
      <c r="D135" s="78" t="s">
        <v>13</v>
      </c>
      <c r="E135" s="234" t="s">
        <v>14</v>
      </c>
      <c r="F135" s="235"/>
      <c r="G135" s="46"/>
    </row>
    <row r="136" spans="1:7" s="52" customFormat="1" x14ac:dyDescent="0.3">
      <c r="A136" s="48"/>
      <c r="B136" s="49"/>
      <c r="C136" s="152" t="str">
        <f xml:space="preserve"> IF(B136="","",setValueToTime(B136))</f>
        <v/>
      </c>
      <c r="D136" s="50"/>
      <c r="E136" s="226"/>
      <c r="F136" s="227"/>
      <c r="G136" s="51"/>
    </row>
    <row r="137" spans="1:7" s="52" customFormat="1" x14ac:dyDescent="0.3">
      <c r="A137" s="53"/>
      <c r="B137" s="54"/>
      <c r="C137" s="153" t="str">
        <f t="shared" ref="C137:C143" si="11" xml:space="preserve"> IF(B137="","",setValueToTime(B137))</f>
        <v/>
      </c>
      <c r="D137" s="55"/>
      <c r="E137" s="228"/>
      <c r="F137" s="229"/>
      <c r="G137" s="51"/>
    </row>
    <row r="138" spans="1:7" s="52" customFormat="1" x14ac:dyDescent="0.3">
      <c r="A138" s="53"/>
      <c r="B138" s="54"/>
      <c r="C138" s="153" t="str">
        <f t="shared" si="11"/>
        <v/>
      </c>
      <c r="D138" s="55"/>
      <c r="E138" s="228"/>
      <c r="F138" s="229"/>
      <c r="G138" s="51"/>
    </row>
    <row r="139" spans="1:7" s="52" customFormat="1" x14ac:dyDescent="0.3">
      <c r="A139" s="53"/>
      <c r="B139" s="54"/>
      <c r="C139" s="153" t="str">
        <f t="shared" si="11"/>
        <v/>
      </c>
      <c r="D139" s="55"/>
      <c r="E139" s="228"/>
      <c r="F139" s="229"/>
      <c r="G139" s="51"/>
    </row>
    <row r="140" spans="1:7" s="52" customFormat="1" x14ac:dyDescent="0.3">
      <c r="A140" s="54"/>
      <c r="B140" s="54"/>
      <c r="C140" s="154" t="str">
        <f t="shared" si="11"/>
        <v/>
      </c>
      <c r="D140" s="55"/>
      <c r="E140" s="228"/>
      <c r="F140" s="229"/>
      <c r="G140" s="51"/>
    </row>
    <row r="141" spans="1:7" s="52" customFormat="1" x14ac:dyDescent="0.3">
      <c r="A141" s="54"/>
      <c r="B141" s="54"/>
      <c r="C141" s="154" t="str">
        <f t="shared" si="11"/>
        <v/>
      </c>
      <c r="D141" s="55"/>
      <c r="E141" s="228"/>
      <c r="F141" s="229"/>
      <c r="G141" s="51"/>
    </row>
    <row r="142" spans="1:7" s="52" customFormat="1" x14ac:dyDescent="0.3">
      <c r="A142" s="54"/>
      <c r="B142" s="54"/>
      <c r="C142" s="154" t="str">
        <f t="shared" si="11"/>
        <v/>
      </c>
      <c r="D142" s="55"/>
      <c r="E142" s="228"/>
      <c r="F142" s="229"/>
      <c r="G142" s="51"/>
    </row>
    <row r="143" spans="1:7" s="52" customFormat="1" ht="15" thickBot="1" x14ac:dyDescent="0.35">
      <c r="A143" s="56"/>
      <c r="B143" s="56"/>
      <c r="C143" s="155" t="str">
        <f t="shared" si="11"/>
        <v/>
      </c>
      <c r="D143" s="57"/>
      <c r="E143" s="232"/>
      <c r="F143" s="233"/>
      <c r="G143" s="51"/>
    </row>
    <row r="144" spans="1:7" s="52" customFormat="1" ht="15" thickBot="1" x14ac:dyDescent="0.35">
      <c r="A144" s="162" t="s">
        <v>29</v>
      </c>
      <c r="B144" s="83">
        <f>SUM(B136:B143)</f>
        <v>0</v>
      </c>
      <c r="C144" s="162" t="str">
        <f xml:space="preserve"> setValueToTime(B144)</f>
        <v>0h</v>
      </c>
      <c r="D144" s="121"/>
      <c r="E144" s="236"/>
      <c r="F144" s="237"/>
      <c r="G144" s="51"/>
    </row>
    <row r="145" spans="1:7" s="59" customFormat="1" ht="15" thickBot="1" x14ac:dyDescent="0.35">
      <c r="A145" s="77"/>
      <c r="B145" s="77"/>
      <c r="C145" s="77"/>
      <c r="D145" s="77"/>
      <c r="E145" s="77"/>
      <c r="F145" s="77"/>
      <c r="G145" s="58"/>
    </row>
    <row r="146" spans="1:7" s="47" customFormat="1" ht="30" customHeight="1" thickBot="1" x14ac:dyDescent="0.3">
      <c r="A146" s="156" t="s">
        <v>12</v>
      </c>
      <c r="B146" s="164">
        <v>14</v>
      </c>
      <c r="C146" s="164"/>
      <c r="D146" s="157" t="s">
        <v>15</v>
      </c>
      <c r="E146" s="158" t="s">
        <v>81</v>
      </c>
      <c r="F146" s="159" t="s">
        <v>45</v>
      </c>
      <c r="G146" s="46"/>
    </row>
    <row r="147" spans="1:7" s="47" customFormat="1" ht="30" customHeight="1" thickBot="1" x14ac:dyDescent="0.3">
      <c r="A147" s="78" t="s">
        <v>5</v>
      </c>
      <c r="B147" s="161" t="s">
        <v>41</v>
      </c>
      <c r="C147" s="160">
        <v>38</v>
      </c>
      <c r="D147" s="78" t="s">
        <v>13</v>
      </c>
      <c r="E147" s="234" t="s">
        <v>14</v>
      </c>
      <c r="F147" s="235"/>
      <c r="G147" s="46"/>
    </row>
    <row r="148" spans="1:7" s="52" customFormat="1" x14ac:dyDescent="0.3">
      <c r="A148" s="48"/>
      <c r="B148" s="49"/>
      <c r="C148" s="152" t="str">
        <f xml:space="preserve"> IF(B148="","",setValueToTime(B148))</f>
        <v/>
      </c>
      <c r="D148" s="50"/>
      <c r="E148" s="226"/>
      <c r="F148" s="227"/>
      <c r="G148" s="51"/>
    </row>
    <row r="149" spans="1:7" s="52" customFormat="1" x14ac:dyDescent="0.3">
      <c r="A149" s="53"/>
      <c r="B149" s="54"/>
      <c r="C149" s="153" t="str">
        <f t="shared" ref="C149:C155" si="12" xml:space="preserve"> IF(B149="","",setValueToTime(B149))</f>
        <v/>
      </c>
      <c r="D149" s="55"/>
      <c r="E149" s="228"/>
      <c r="F149" s="229"/>
      <c r="G149" s="51"/>
    </row>
    <row r="150" spans="1:7" s="52" customFormat="1" x14ac:dyDescent="0.3">
      <c r="A150" s="53"/>
      <c r="B150" s="54"/>
      <c r="C150" s="153" t="str">
        <f t="shared" si="12"/>
        <v/>
      </c>
      <c r="D150" s="55"/>
      <c r="E150" s="228"/>
      <c r="F150" s="229"/>
      <c r="G150" s="51"/>
    </row>
    <row r="151" spans="1:7" s="52" customFormat="1" x14ac:dyDescent="0.3">
      <c r="A151" s="53"/>
      <c r="B151" s="54"/>
      <c r="C151" s="153" t="str">
        <f t="shared" si="12"/>
        <v/>
      </c>
      <c r="D151" s="55"/>
      <c r="E151" s="228"/>
      <c r="F151" s="229"/>
      <c r="G151" s="51"/>
    </row>
    <row r="152" spans="1:7" s="52" customFormat="1" x14ac:dyDescent="0.3">
      <c r="A152" s="54"/>
      <c r="B152" s="54"/>
      <c r="C152" s="154" t="str">
        <f t="shared" si="12"/>
        <v/>
      </c>
      <c r="D152" s="55"/>
      <c r="E152" s="228"/>
      <c r="F152" s="229"/>
      <c r="G152" s="51"/>
    </row>
    <row r="153" spans="1:7" s="52" customFormat="1" x14ac:dyDescent="0.3">
      <c r="A153" s="54"/>
      <c r="B153" s="54"/>
      <c r="C153" s="154" t="str">
        <f t="shared" si="12"/>
        <v/>
      </c>
      <c r="D153" s="55"/>
      <c r="E153" s="228"/>
      <c r="F153" s="229"/>
      <c r="G153" s="51"/>
    </row>
    <row r="154" spans="1:7" s="52" customFormat="1" x14ac:dyDescent="0.3">
      <c r="A154" s="54"/>
      <c r="B154" s="54"/>
      <c r="C154" s="154" t="str">
        <f t="shared" si="12"/>
        <v/>
      </c>
      <c r="D154" s="55"/>
      <c r="E154" s="228"/>
      <c r="F154" s="229"/>
      <c r="G154" s="51"/>
    </row>
    <row r="155" spans="1:7" s="52" customFormat="1" ht="15" thickBot="1" x14ac:dyDescent="0.35">
      <c r="A155" s="56"/>
      <c r="B155" s="56"/>
      <c r="C155" s="155" t="str">
        <f t="shared" si="12"/>
        <v/>
      </c>
      <c r="D155" s="57"/>
      <c r="E155" s="232"/>
      <c r="F155" s="233"/>
      <c r="G155" s="51"/>
    </row>
    <row r="156" spans="1:7" s="52" customFormat="1" ht="15" thickBot="1" x14ac:dyDescent="0.35">
      <c r="A156" s="162" t="s">
        <v>29</v>
      </c>
      <c r="B156" s="83">
        <f>SUM(B148:B155)</f>
        <v>0</v>
      </c>
      <c r="C156" s="162" t="str">
        <f xml:space="preserve"> setValueToTime(B156)</f>
        <v>0h</v>
      </c>
      <c r="D156" s="121"/>
      <c r="E156" s="236"/>
      <c r="F156" s="237"/>
      <c r="G156" s="51"/>
    </row>
    <row r="157" spans="1:7" s="59" customFormat="1" ht="15" thickBot="1" x14ac:dyDescent="0.35">
      <c r="A157" s="77"/>
      <c r="B157" s="77"/>
      <c r="C157" s="77"/>
      <c r="D157" s="77"/>
      <c r="E157" s="77"/>
      <c r="F157" s="77"/>
      <c r="G157" s="58"/>
    </row>
    <row r="158" spans="1:7" s="47" customFormat="1" ht="30" customHeight="1" thickBot="1" x14ac:dyDescent="0.3">
      <c r="A158" s="156" t="s">
        <v>12</v>
      </c>
      <c r="B158" s="164">
        <v>13</v>
      </c>
      <c r="C158" s="164"/>
      <c r="D158" s="157" t="s">
        <v>15</v>
      </c>
      <c r="E158" s="158" t="s">
        <v>82</v>
      </c>
      <c r="F158" s="159" t="s">
        <v>44</v>
      </c>
      <c r="G158" s="46"/>
    </row>
    <row r="159" spans="1:7" s="47" customFormat="1" ht="30" customHeight="1" thickBot="1" x14ac:dyDescent="0.3">
      <c r="A159" s="78" t="s">
        <v>5</v>
      </c>
      <c r="B159" s="161" t="s">
        <v>41</v>
      </c>
      <c r="C159" s="160">
        <v>38</v>
      </c>
      <c r="D159" s="78" t="s">
        <v>13</v>
      </c>
      <c r="E159" s="234" t="s">
        <v>14</v>
      </c>
      <c r="F159" s="235"/>
      <c r="G159" s="46"/>
    </row>
    <row r="160" spans="1:7" s="52" customFormat="1" x14ac:dyDescent="0.3">
      <c r="A160" s="48"/>
      <c r="B160" s="49"/>
      <c r="C160" s="152" t="str">
        <f xml:space="preserve"> IF(B160="","",setValueToTime(B160))</f>
        <v/>
      </c>
      <c r="D160" s="50"/>
      <c r="E160" s="226"/>
      <c r="F160" s="227"/>
      <c r="G160" s="51"/>
    </row>
    <row r="161" spans="1:7" s="52" customFormat="1" x14ac:dyDescent="0.3">
      <c r="A161" s="53"/>
      <c r="B161" s="54"/>
      <c r="C161" s="153" t="str">
        <f t="shared" ref="C161:C167" si="13" xml:space="preserve"> IF(B161="","",setValueToTime(B161))</f>
        <v/>
      </c>
      <c r="D161" s="55"/>
      <c r="E161" s="228"/>
      <c r="F161" s="229"/>
      <c r="G161" s="51"/>
    </row>
    <row r="162" spans="1:7" s="52" customFormat="1" x14ac:dyDescent="0.3">
      <c r="A162" s="53"/>
      <c r="B162" s="54"/>
      <c r="C162" s="153" t="str">
        <f t="shared" si="13"/>
        <v/>
      </c>
      <c r="D162" s="55"/>
      <c r="E162" s="228"/>
      <c r="F162" s="229"/>
      <c r="G162" s="51"/>
    </row>
    <row r="163" spans="1:7" s="52" customFormat="1" x14ac:dyDescent="0.3">
      <c r="A163" s="53"/>
      <c r="B163" s="54"/>
      <c r="C163" s="153" t="str">
        <f t="shared" si="13"/>
        <v/>
      </c>
      <c r="D163" s="55"/>
      <c r="E163" s="228"/>
      <c r="F163" s="229"/>
      <c r="G163" s="51"/>
    </row>
    <row r="164" spans="1:7" s="52" customFormat="1" x14ac:dyDescent="0.3">
      <c r="A164" s="54"/>
      <c r="B164" s="54"/>
      <c r="C164" s="154" t="str">
        <f t="shared" si="13"/>
        <v/>
      </c>
      <c r="D164" s="55"/>
      <c r="E164" s="228"/>
      <c r="F164" s="229"/>
      <c r="G164" s="51"/>
    </row>
    <row r="165" spans="1:7" s="52" customFormat="1" x14ac:dyDescent="0.3">
      <c r="A165" s="54"/>
      <c r="B165" s="54"/>
      <c r="C165" s="154" t="str">
        <f t="shared" si="13"/>
        <v/>
      </c>
      <c r="D165" s="55"/>
      <c r="E165" s="228"/>
      <c r="F165" s="229"/>
      <c r="G165" s="51"/>
    </row>
    <row r="166" spans="1:7" s="52" customFormat="1" x14ac:dyDescent="0.3">
      <c r="A166" s="54"/>
      <c r="B166" s="54"/>
      <c r="C166" s="154" t="str">
        <f t="shared" si="13"/>
        <v/>
      </c>
      <c r="D166" s="55"/>
      <c r="E166" s="228"/>
      <c r="F166" s="229"/>
      <c r="G166" s="51"/>
    </row>
    <row r="167" spans="1:7" s="52" customFormat="1" ht="15" thickBot="1" x14ac:dyDescent="0.35">
      <c r="A167" s="56"/>
      <c r="B167" s="56"/>
      <c r="C167" s="155" t="str">
        <f t="shared" si="13"/>
        <v/>
      </c>
      <c r="D167" s="57"/>
      <c r="E167" s="232"/>
      <c r="F167" s="233"/>
      <c r="G167" s="51"/>
    </row>
    <row r="168" spans="1:7" s="52" customFormat="1" ht="15" thickBot="1" x14ac:dyDescent="0.35">
      <c r="A168" s="162" t="s">
        <v>29</v>
      </c>
      <c r="B168" s="83">
        <f>SUM(B160:B167)</f>
        <v>0</v>
      </c>
      <c r="C168" s="162" t="str">
        <f xml:space="preserve"> setValueToTime(B168)</f>
        <v>0h</v>
      </c>
      <c r="D168" s="121"/>
      <c r="E168" s="236"/>
      <c r="F168" s="237"/>
      <c r="G168" s="51"/>
    </row>
    <row r="169" spans="1:7" s="59" customFormat="1" ht="15" thickBot="1" x14ac:dyDescent="0.35">
      <c r="A169" s="77"/>
      <c r="B169" s="77"/>
      <c r="C169" s="77"/>
      <c r="D169" s="77"/>
      <c r="E169" s="77"/>
      <c r="F169" s="77"/>
      <c r="G169" s="58"/>
    </row>
    <row r="170" spans="1:7" s="47" customFormat="1" ht="30" customHeight="1" thickBot="1" x14ac:dyDescent="0.3">
      <c r="A170" s="156" t="s">
        <v>12</v>
      </c>
      <c r="B170" s="164">
        <v>12</v>
      </c>
      <c r="C170" s="164"/>
      <c r="D170" s="157" t="s">
        <v>15</v>
      </c>
      <c r="E170" s="158" t="s">
        <v>82</v>
      </c>
      <c r="F170" s="159" t="s">
        <v>45</v>
      </c>
      <c r="G170" s="46"/>
    </row>
    <row r="171" spans="1:7" s="47" customFormat="1" ht="30" customHeight="1" thickBot="1" x14ac:dyDescent="0.3">
      <c r="A171" s="78" t="s">
        <v>5</v>
      </c>
      <c r="B171" s="161" t="s">
        <v>41</v>
      </c>
      <c r="C171" s="160">
        <v>48</v>
      </c>
      <c r="D171" s="78" t="s">
        <v>13</v>
      </c>
      <c r="E171" s="234" t="s">
        <v>14</v>
      </c>
      <c r="F171" s="235"/>
      <c r="G171" s="46"/>
    </row>
    <row r="172" spans="1:7" s="52" customFormat="1" x14ac:dyDescent="0.3">
      <c r="A172" s="48"/>
      <c r="B172" s="49"/>
      <c r="C172" s="152" t="str">
        <f xml:space="preserve"> IF(B172="","",setValueToTime(B172))</f>
        <v/>
      </c>
      <c r="D172" s="50"/>
      <c r="E172" s="226"/>
      <c r="F172" s="227"/>
      <c r="G172" s="51"/>
    </row>
    <row r="173" spans="1:7" s="52" customFormat="1" x14ac:dyDescent="0.3">
      <c r="A173" s="53"/>
      <c r="B173" s="54"/>
      <c r="C173" s="153" t="str">
        <f t="shared" ref="C173:C179" si="14" xml:space="preserve"> IF(B173="","",setValueToTime(B173))</f>
        <v/>
      </c>
      <c r="D173" s="55"/>
      <c r="E173" s="228"/>
      <c r="F173" s="229"/>
      <c r="G173" s="51"/>
    </row>
    <row r="174" spans="1:7" s="52" customFormat="1" x14ac:dyDescent="0.3">
      <c r="A174" s="53"/>
      <c r="B174" s="54"/>
      <c r="C174" s="153" t="str">
        <f t="shared" si="14"/>
        <v/>
      </c>
      <c r="D174" s="55"/>
      <c r="E174" s="228"/>
      <c r="F174" s="229"/>
      <c r="G174" s="51"/>
    </row>
    <row r="175" spans="1:7" s="52" customFormat="1" x14ac:dyDescent="0.3">
      <c r="A175" s="53"/>
      <c r="B175" s="54"/>
      <c r="C175" s="153" t="str">
        <f t="shared" si="14"/>
        <v/>
      </c>
      <c r="D175" s="55"/>
      <c r="E175" s="228"/>
      <c r="F175" s="229"/>
      <c r="G175" s="51"/>
    </row>
    <row r="176" spans="1:7" s="52" customFormat="1" x14ac:dyDescent="0.3">
      <c r="A176" s="54"/>
      <c r="B176" s="54"/>
      <c r="C176" s="154" t="str">
        <f t="shared" si="14"/>
        <v/>
      </c>
      <c r="D176" s="55"/>
      <c r="E176" s="228"/>
      <c r="F176" s="229"/>
      <c r="G176" s="51"/>
    </row>
    <row r="177" spans="1:7" s="52" customFormat="1" x14ac:dyDescent="0.3">
      <c r="A177" s="54"/>
      <c r="B177" s="54"/>
      <c r="C177" s="154" t="str">
        <f t="shared" si="14"/>
        <v/>
      </c>
      <c r="D177" s="55"/>
      <c r="E177" s="228"/>
      <c r="F177" s="229"/>
      <c r="G177" s="51"/>
    </row>
    <row r="178" spans="1:7" s="52" customFormat="1" x14ac:dyDescent="0.3">
      <c r="A178" s="54"/>
      <c r="B178" s="54"/>
      <c r="C178" s="154" t="str">
        <f t="shared" si="14"/>
        <v/>
      </c>
      <c r="D178" s="55"/>
      <c r="E178" s="228"/>
      <c r="F178" s="229"/>
      <c r="G178" s="51"/>
    </row>
    <row r="179" spans="1:7" s="52" customFormat="1" ht="15" thickBot="1" x14ac:dyDescent="0.35">
      <c r="A179" s="56"/>
      <c r="B179" s="56"/>
      <c r="C179" s="155" t="str">
        <f t="shared" si="14"/>
        <v/>
      </c>
      <c r="D179" s="57"/>
      <c r="E179" s="232"/>
      <c r="F179" s="233"/>
      <c r="G179" s="51"/>
    </row>
    <row r="180" spans="1:7" s="52" customFormat="1" ht="15" thickBot="1" x14ac:dyDescent="0.35">
      <c r="A180" s="162" t="s">
        <v>29</v>
      </c>
      <c r="B180" s="83">
        <f>SUM(B172:B179)</f>
        <v>0</v>
      </c>
      <c r="C180" s="162" t="str">
        <f xml:space="preserve"> setValueToTime(B180)</f>
        <v>0h</v>
      </c>
      <c r="D180" s="121"/>
      <c r="E180" s="236"/>
      <c r="F180" s="237"/>
      <c r="G180" s="51"/>
    </row>
    <row r="181" spans="1:7" s="59" customFormat="1" ht="15" thickBot="1" x14ac:dyDescent="0.35">
      <c r="A181" s="77"/>
      <c r="B181" s="77"/>
      <c r="C181" s="77"/>
      <c r="D181" s="77"/>
      <c r="E181" s="77"/>
      <c r="F181" s="77"/>
      <c r="G181" s="58"/>
    </row>
    <row r="182" spans="1:7" s="47" customFormat="1" ht="30" customHeight="1" thickBot="1" x14ac:dyDescent="0.3">
      <c r="A182" s="156" t="s">
        <v>12</v>
      </c>
      <c r="B182" s="164">
        <v>11</v>
      </c>
      <c r="C182" s="164"/>
      <c r="D182" s="157" t="s">
        <v>15</v>
      </c>
      <c r="E182" s="158" t="s">
        <v>83</v>
      </c>
      <c r="F182" s="159" t="s">
        <v>44</v>
      </c>
      <c r="G182" s="46"/>
    </row>
    <row r="183" spans="1:7" s="47" customFormat="1" ht="30" customHeight="1" thickBot="1" x14ac:dyDescent="0.3">
      <c r="A183" s="78" t="s">
        <v>5</v>
      </c>
      <c r="B183" s="161" t="s">
        <v>41</v>
      </c>
      <c r="C183" s="160">
        <v>38</v>
      </c>
      <c r="D183" s="78" t="s">
        <v>13</v>
      </c>
      <c r="E183" s="234" t="s">
        <v>14</v>
      </c>
      <c r="F183" s="235"/>
      <c r="G183" s="46"/>
    </row>
    <row r="184" spans="1:7" s="52" customFormat="1" x14ac:dyDescent="0.3">
      <c r="A184" s="48"/>
      <c r="B184" s="49"/>
      <c r="C184" s="152" t="str">
        <f xml:space="preserve"> IF(B184="","",setValueToTime(B184))</f>
        <v/>
      </c>
      <c r="D184" s="50"/>
      <c r="E184" s="226"/>
      <c r="F184" s="227"/>
      <c r="G184" s="51"/>
    </row>
    <row r="185" spans="1:7" s="52" customFormat="1" x14ac:dyDescent="0.3">
      <c r="A185" s="53"/>
      <c r="B185" s="54"/>
      <c r="C185" s="153" t="str">
        <f t="shared" ref="C185:C191" si="15" xml:space="preserve"> IF(B185="","",setValueToTime(B185))</f>
        <v/>
      </c>
      <c r="D185" s="55"/>
      <c r="E185" s="228"/>
      <c r="F185" s="229"/>
      <c r="G185" s="51"/>
    </row>
    <row r="186" spans="1:7" s="52" customFormat="1" x14ac:dyDescent="0.3">
      <c r="A186" s="53"/>
      <c r="B186" s="54"/>
      <c r="C186" s="153" t="str">
        <f t="shared" si="15"/>
        <v/>
      </c>
      <c r="D186" s="55"/>
      <c r="E186" s="228"/>
      <c r="F186" s="229"/>
      <c r="G186" s="51"/>
    </row>
    <row r="187" spans="1:7" s="52" customFormat="1" x14ac:dyDescent="0.3">
      <c r="A187" s="53"/>
      <c r="B187" s="54"/>
      <c r="C187" s="153" t="str">
        <f t="shared" si="15"/>
        <v/>
      </c>
      <c r="D187" s="55"/>
      <c r="E187" s="228"/>
      <c r="F187" s="229"/>
      <c r="G187" s="51"/>
    </row>
    <row r="188" spans="1:7" s="52" customFormat="1" x14ac:dyDescent="0.3">
      <c r="A188" s="54"/>
      <c r="B188" s="54"/>
      <c r="C188" s="154" t="str">
        <f t="shared" si="15"/>
        <v/>
      </c>
      <c r="D188" s="55"/>
      <c r="E188" s="228"/>
      <c r="F188" s="229"/>
      <c r="G188" s="51"/>
    </row>
    <row r="189" spans="1:7" s="52" customFormat="1" x14ac:dyDescent="0.3">
      <c r="A189" s="54"/>
      <c r="B189" s="54"/>
      <c r="C189" s="154" t="str">
        <f t="shared" si="15"/>
        <v/>
      </c>
      <c r="D189" s="55"/>
      <c r="E189" s="228"/>
      <c r="F189" s="229"/>
      <c r="G189" s="51"/>
    </row>
    <row r="190" spans="1:7" s="52" customFormat="1" x14ac:dyDescent="0.3">
      <c r="A190" s="54"/>
      <c r="B190" s="54"/>
      <c r="C190" s="154" t="str">
        <f t="shared" si="15"/>
        <v/>
      </c>
      <c r="D190" s="55"/>
      <c r="E190" s="228"/>
      <c r="F190" s="229"/>
      <c r="G190" s="51"/>
    </row>
    <row r="191" spans="1:7" s="52" customFormat="1" ht="15" thickBot="1" x14ac:dyDescent="0.35">
      <c r="A191" s="56"/>
      <c r="B191" s="56"/>
      <c r="C191" s="155" t="str">
        <f t="shared" si="15"/>
        <v/>
      </c>
      <c r="D191" s="57"/>
      <c r="E191" s="232"/>
      <c r="F191" s="233"/>
      <c r="G191" s="51"/>
    </row>
    <row r="192" spans="1:7" s="52" customFormat="1" ht="15" thickBot="1" x14ac:dyDescent="0.35">
      <c r="A192" s="162" t="s">
        <v>29</v>
      </c>
      <c r="B192" s="83">
        <f>SUM(B184:B191)</f>
        <v>0</v>
      </c>
      <c r="C192" s="162" t="str">
        <f xml:space="preserve"> setValueToTime(B192)</f>
        <v>0h</v>
      </c>
      <c r="D192" s="121"/>
      <c r="E192" s="236"/>
      <c r="F192" s="237"/>
      <c r="G192" s="51"/>
    </row>
    <row r="193" spans="1:7" s="59" customFormat="1" ht="15" thickBot="1" x14ac:dyDescent="0.35">
      <c r="A193" s="77"/>
      <c r="B193" s="77"/>
      <c r="C193" s="77"/>
      <c r="D193" s="77"/>
      <c r="E193" s="77"/>
      <c r="F193" s="77"/>
      <c r="G193" s="58"/>
    </row>
    <row r="194" spans="1:7" s="47" customFormat="1" ht="30" customHeight="1" thickBot="1" x14ac:dyDescent="0.3">
      <c r="A194" s="156" t="s">
        <v>12</v>
      </c>
      <c r="B194" s="164">
        <v>10</v>
      </c>
      <c r="C194" s="164"/>
      <c r="D194" s="157" t="s">
        <v>15</v>
      </c>
      <c r="E194" s="158" t="s">
        <v>83</v>
      </c>
      <c r="F194" s="159" t="s">
        <v>45</v>
      </c>
      <c r="G194" s="46"/>
    </row>
    <row r="195" spans="1:7" s="47" customFormat="1" ht="30" customHeight="1" thickBot="1" x14ac:dyDescent="0.3">
      <c r="A195" s="78" t="s">
        <v>5</v>
      </c>
      <c r="B195" s="161" t="s">
        <v>41</v>
      </c>
      <c r="C195" s="160">
        <v>48</v>
      </c>
      <c r="D195" s="78" t="s">
        <v>13</v>
      </c>
      <c r="E195" s="234" t="s">
        <v>14</v>
      </c>
      <c r="F195" s="235"/>
      <c r="G195" s="46"/>
    </row>
    <row r="196" spans="1:7" s="52" customFormat="1" x14ac:dyDescent="0.3">
      <c r="A196" s="48"/>
      <c r="B196" s="49"/>
      <c r="C196" s="152" t="str">
        <f xml:space="preserve"> IF(B196="","",setValueToTime(B196))</f>
        <v/>
      </c>
      <c r="D196" s="50"/>
      <c r="E196" s="226"/>
      <c r="F196" s="227"/>
      <c r="G196" s="51"/>
    </row>
    <row r="197" spans="1:7" s="52" customFormat="1" x14ac:dyDescent="0.3">
      <c r="A197" s="53"/>
      <c r="B197" s="54"/>
      <c r="C197" s="153" t="str">
        <f t="shared" ref="C197:C203" si="16" xml:space="preserve"> IF(B197="","",setValueToTime(B197))</f>
        <v/>
      </c>
      <c r="D197" s="55"/>
      <c r="E197" s="228"/>
      <c r="F197" s="229"/>
      <c r="G197" s="51"/>
    </row>
    <row r="198" spans="1:7" s="52" customFormat="1" x14ac:dyDescent="0.3">
      <c r="A198" s="53"/>
      <c r="B198" s="54"/>
      <c r="C198" s="153" t="str">
        <f t="shared" si="16"/>
        <v/>
      </c>
      <c r="D198" s="55"/>
      <c r="E198" s="228"/>
      <c r="F198" s="229"/>
      <c r="G198" s="51"/>
    </row>
    <row r="199" spans="1:7" s="52" customFormat="1" x14ac:dyDescent="0.3">
      <c r="A199" s="53"/>
      <c r="B199" s="54"/>
      <c r="C199" s="153" t="str">
        <f t="shared" si="16"/>
        <v/>
      </c>
      <c r="D199" s="55"/>
      <c r="E199" s="228"/>
      <c r="F199" s="229"/>
      <c r="G199" s="51"/>
    </row>
    <row r="200" spans="1:7" s="52" customFormat="1" x14ac:dyDescent="0.3">
      <c r="A200" s="54"/>
      <c r="B200" s="54"/>
      <c r="C200" s="154" t="str">
        <f t="shared" si="16"/>
        <v/>
      </c>
      <c r="D200" s="55"/>
      <c r="E200" s="228"/>
      <c r="F200" s="229"/>
      <c r="G200" s="51"/>
    </row>
    <row r="201" spans="1:7" s="52" customFormat="1" x14ac:dyDescent="0.3">
      <c r="A201" s="54"/>
      <c r="B201" s="54"/>
      <c r="C201" s="154" t="str">
        <f t="shared" si="16"/>
        <v/>
      </c>
      <c r="D201" s="55"/>
      <c r="E201" s="228"/>
      <c r="F201" s="229"/>
      <c r="G201" s="51"/>
    </row>
    <row r="202" spans="1:7" s="52" customFormat="1" x14ac:dyDescent="0.3">
      <c r="A202" s="54"/>
      <c r="B202" s="54"/>
      <c r="C202" s="154" t="str">
        <f t="shared" si="16"/>
        <v/>
      </c>
      <c r="D202" s="55"/>
      <c r="E202" s="228"/>
      <c r="F202" s="229"/>
      <c r="G202" s="51"/>
    </row>
    <row r="203" spans="1:7" s="52" customFormat="1" ht="15" thickBot="1" x14ac:dyDescent="0.35">
      <c r="A203" s="56"/>
      <c r="B203" s="56"/>
      <c r="C203" s="155" t="str">
        <f t="shared" si="16"/>
        <v/>
      </c>
      <c r="D203" s="57"/>
      <c r="E203" s="232"/>
      <c r="F203" s="233"/>
      <c r="G203" s="51"/>
    </row>
    <row r="204" spans="1:7" s="52" customFormat="1" ht="15" thickBot="1" x14ac:dyDescent="0.35">
      <c r="A204" s="162" t="s">
        <v>29</v>
      </c>
      <c r="B204" s="83">
        <f>SUM(B196:B203)</f>
        <v>0</v>
      </c>
      <c r="C204" s="162" t="str">
        <f xml:space="preserve"> setValueToTime(B204)</f>
        <v>0h</v>
      </c>
      <c r="D204" s="121"/>
      <c r="E204" s="236"/>
      <c r="F204" s="237"/>
      <c r="G204" s="51"/>
    </row>
    <row r="205" spans="1:7" s="59" customFormat="1" ht="15" thickBot="1" x14ac:dyDescent="0.35">
      <c r="A205" s="77"/>
      <c r="B205" s="77"/>
      <c r="C205" s="77"/>
      <c r="D205" s="77"/>
      <c r="E205" s="77"/>
      <c r="F205" s="77"/>
      <c r="G205" s="58"/>
    </row>
    <row r="206" spans="1:7" s="47" customFormat="1" ht="30" customHeight="1" thickBot="1" x14ac:dyDescent="0.3">
      <c r="A206" s="156" t="s">
        <v>12</v>
      </c>
      <c r="B206" s="164">
        <v>9</v>
      </c>
      <c r="C206" s="164"/>
      <c r="D206" s="157" t="s">
        <v>15</v>
      </c>
      <c r="E206" s="158" t="s">
        <v>84</v>
      </c>
      <c r="F206" s="159" t="s">
        <v>45</v>
      </c>
      <c r="G206" s="46"/>
    </row>
    <row r="207" spans="1:7" s="47" customFormat="1" ht="30" customHeight="1" thickBot="1" x14ac:dyDescent="0.3">
      <c r="A207" s="78" t="s">
        <v>5</v>
      </c>
      <c r="B207" s="161" t="s">
        <v>41</v>
      </c>
      <c r="C207" s="160">
        <v>38</v>
      </c>
      <c r="D207" s="78" t="s">
        <v>13</v>
      </c>
      <c r="E207" s="234" t="s">
        <v>14</v>
      </c>
      <c r="F207" s="235"/>
      <c r="G207" s="46"/>
    </row>
    <row r="208" spans="1:7" s="52" customFormat="1" x14ac:dyDescent="0.3">
      <c r="A208" s="48"/>
      <c r="B208" s="49"/>
      <c r="C208" s="152" t="str">
        <f xml:space="preserve"> IF(B208="","",setValueToTime(B208))</f>
        <v/>
      </c>
      <c r="D208" s="50"/>
      <c r="E208" s="226"/>
      <c r="F208" s="227"/>
      <c r="G208" s="51"/>
    </row>
    <row r="209" spans="1:7" s="52" customFormat="1" x14ac:dyDescent="0.3">
      <c r="A209" s="53"/>
      <c r="B209" s="54"/>
      <c r="C209" s="153" t="str">
        <f t="shared" ref="C209:C215" si="17" xml:space="preserve"> IF(B209="","",setValueToTime(B209))</f>
        <v/>
      </c>
      <c r="D209" s="55"/>
      <c r="E209" s="228"/>
      <c r="F209" s="229"/>
      <c r="G209" s="51"/>
    </row>
    <row r="210" spans="1:7" s="52" customFormat="1" x14ac:dyDescent="0.3">
      <c r="A210" s="53"/>
      <c r="B210" s="54"/>
      <c r="C210" s="153" t="str">
        <f t="shared" si="17"/>
        <v/>
      </c>
      <c r="D210" s="55"/>
      <c r="E210" s="228"/>
      <c r="F210" s="229"/>
      <c r="G210" s="51"/>
    </row>
    <row r="211" spans="1:7" s="52" customFormat="1" x14ac:dyDescent="0.3">
      <c r="A211" s="53"/>
      <c r="B211" s="54"/>
      <c r="C211" s="153" t="str">
        <f t="shared" si="17"/>
        <v/>
      </c>
      <c r="D211" s="55"/>
      <c r="E211" s="228"/>
      <c r="F211" s="229"/>
      <c r="G211" s="51"/>
    </row>
    <row r="212" spans="1:7" s="52" customFormat="1" x14ac:dyDescent="0.3">
      <c r="A212" s="54"/>
      <c r="B212" s="54"/>
      <c r="C212" s="154" t="str">
        <f t="shared" si="17"/>
        <v/>
      </c>
      <c r="D212" s="55"/>
      <c r="E212" s="228"/>
      <c r="F212" s="229"/>
      <c r="G212" s="51"/>
    </row>
    <row r="213" spans="1:7" s="52" customFormat="1" x14ac:dyDescent="0.3">
      <c r="A213" s="54"/>
      <c r="B213" s="54"/>
      <c r="C213" s="154" t="str">
        <f t="shared" si="17"/>
        <v/>
      </c>
      <c r="D213" s="55"/>
      <c r="E213" s="228"/>
      <c r="F213" s="229"/>
      <c r="G213" s="51"/>
    </row>
    <row r="214" spans="1:7" s="52" customFormat="1" x14ac:dyDescent="0.3">
      <c r="A214" s="54"/>
      <c r="B214" s="54"/>
      <c r="C214" s="154" t="str">
        <f t="shared" si="17"/>
        <v/>
      </c>
      <c r="D214" s="55"/>
      <c r="E214" s="228"/>
      <c r="F214" s="229"/>
      <c r="G214" s="51"/>
    </row>
    <row r="215" spans="1:7" s="52" customFormat="1" ht="15" thickBot="1" x14ac:dyDescent="0.35">
      <c r="A215" s="56"/>
      <c r="B215" s="56"/>
      <c r="C215" s="155" t="str">
        <f t="shared" si="17"/>
        <v/>
      </c>
      <c r="D215" s="57"/>
      <c r="E215" s="232"/>
      <c r="F215" s="233"/>
      <c r="G215" s="51"/>
    </row>
    <row r="216" spans="1:7" s="52" customFormat="1" ht="15" thickBot="1" x14ac:dyDescent="0.35">
      <c r="A216" s="162" t="s">
        <v>29</v>
      </c>
      <c r="B216" s="83">
        <f>SUM(B208:B215)</f>
        <v>0</v>
      </c>
      <c r="C216" s="162" t="str">
        <f xml:space="preserve"> setValueToTime(B216)</f>
        <v>0h</v>
      </c>
      <c r="D216" s="121"/>
      <c r="E216" s="236"/>
      <c r="F216" s="237"/>
      <c r="G216" s="51"/>
    </row>
    <row r="217" spans="1:7" s="59" customFormat="1" ht="15" thickBot="1" x14ac:dyDescent="0.35">
      <c r="A217" s="77"/>
      <c r="B217" s="77"/>
      <c r="C217" s="77"/>
      <c r="D217" s="77"/>
      <c r="E217" s="77"/>
      <c r="F217" s="77"/>
      <c r="G217" s="58"/>
    </row>
    <row r="218" spans="1:7" s="47" customFormat="1" ht="30" customHeight="1" thickBot="1" x14ac:dyDescent="0.3">
      <c r="A218" s="156" t="s">
        <v>12</v>
      </c>
      <c r="B218" s="164">
        <v>8</v>
      </c>
      <c r="C218" s="164"/>
      <c r="D218" s="157" t="s">
        <v>15</v>
      </c>
      <c r="E218" s="158" t="s">
        <v>85</v>
      </c>
      <c r="F218" s="159" t="s">
        <v>44</v>
      </c>
      <c r="G218" s="46"/>
    </row>
    <row r="219" spans="1:7" s="47" customFormat="1" ht="30" customHeight="1" thickBot="1" x14ac:dyDescent="0.3">
      <c r="A219" s="78" t="s">
        <v>5</v>
      </c>
      <c r="B219" s="161" t="s">
        <v>41</v>
      </c>
      <c r="C219" s="160">
        <v>38</v>
      </c>
      <c r="D219" s="78" t="s">
        <v>13</v>
      </c>
      <c r="E219" s="234" t="s">
        <v>14</v>
      </c>
      <c r="F219" s="235"/>
      <c r="G219" s="46"/>
    </row>
    <row r="220" spans="1:7" s="52" customFormat="1" x14ac:dyDescent="0.3">
      <c r="A220" s="48"/>
      <c r="B220" s="49"/>
      <c r="C220" s="152" t="str">
        <f xml:space="preserve"> IF(B220="","",setValueToTime(B220))</f>
        <v/>
      </c>
      <c r="D220" s="50"/>
      <c r="E220" s="226"/>
      <c r="F220" s="227"/>
      <c r="G220" s="51"/>
    </row>
    <row r="221" spans="1:7" s="52" customFormat="1" x14ac:dyDescent="0.3">
      <c r="A221" s="53"/>
      <c r="B221" s="54"/>
      <c r="C221" s="153" t="str">
        <f t="shared" ref="C221:C227" si="18" xml:space="preserve"> IF(B221="","",setValueToTime(B221))</f>
        <v/>
      </c>
      <c r="D221" s="55"/>
      <c r="E221" s="228"/>
      <c r="F221" s="229"/>
      <c r="G221" s="51"/>
    </row>
    <row r="222" spans="1:7" s="52" customFormat="1" x14ac:dyDescent="0.3">
      <c r="A222" s="53"/>
      <c r="B222" s="54"/>
      <c r="C222" s="153" t="str">
        <f t="shared" si="18"/>
        <v/>
      </c>
      <c r="D222" s="55"/>
      <c r="E222" s="228"/>
      <c r="F222" s="229"/>
      <c r="G222" s="51"/>
    </row>
    <row r="223" spans="1:7" s="52" customFormat="1" x14ac:dyDescent="0.3">
      <c r="A223" s="53"/>
      <c r="B223" s="54"/>
      <c r="C223" s="153" t="str">
        <f t="shared" si="18"/>
        <v/>
      </c>
      <c r="D223" s="55"/>
      <c r="E223" s="228"/>
      <c r="F223" s="229"/>
      <c r="G223" s="51"/>
    </row>
    <row r="224" spans="1:7" s="52" customFormat="1" x14ac:dyDescent="0.3">
      <c r="A224" s="54"/>
      <c r="B224" s="54"/>
      <c r="C224" s="154" t="str">
        <f t="shared" si="18"/>
        <v/>
      </c>
      <c r="D224" s="55"/>
      <c r="E224" s="228"/>
      <c r="F224" s="229"/>
      <c r="G224" s="51"/>
    </row>
    <row r="225" spans="1:7" s="52" customFormat="1" x14ac:dyDescent="0.3">
      <c r="A225" s="54"/>
      <c r="B225" s="54"/>
      <c r="C225" s="154" t="str">
        <f t="shared" si="18"/>
        <v/>
      </c>
      <c r="D225" s="55"/>
      <c r="E225" s="228"/>
      <c r="F225" s="229"/>
      <c r="G225" s="51"/>
    </row>
    <row r="226" spans="1:7" s="52" customFormat="1" x14ac:dyDescent="0.3">
      <c r="A226" s="54"/>
      <c r="B226" s="54"/>
      <c r="C226" s="154" t="str">
        <f t="shared" si="18"/>
        <v/>
      </c>
      <c r="D226" s="55"/>
      <c r="E226" s="228"/>
      <c r="F226" s="229"/>
      <c r="G226" s="51"/>
    </row>
    <row r="227" spans="1:7" s="52" customFormat="1" ht="15" thickBot="1" x14ac:dyDescent="0.35">
      <c r="A227" s="56"/>
      <c r="B227" s="56"/>
      <c r="C227" s="155" t="str">
        <f t="shared" si="18"/>
        <v/>
      </c>
      <c r="D227" s="57"/>
      <c r="E227" s="232"/>
      <c r="F227" s="233"/>
      <c r="G227" s="51"/>
    </row>
    <row r="228" spans="1:7" s="52" customFormat="1" ht="15" thickBot="1" x14ac:dyDescent="0.35">
      <c r="A228" s="162" t="s">
        <v>29</v>
      </c>
      <c r="B228" s="83">
        <f>SUM(B220:B227)</f>
        <v>0</v>
      </c>
      <c r="C228" s="162" t="str">
        <f xml:space="preserve"> setValueToTime(B228)</f>
        <v>0h</v>
      </c>
      <c r="D228" s="121"/>
      <c r="E228" s="236"/>
      <c r="F228" s="237"/>
      <c r="G228" s="51"/>
    </row>
    <row r="229" spans="1:7" s="59" customFormat="1" ht="15" thickBot="1" x14ac:dyDescent="0.35">
      <c r="A229" s="77"/>
      <c r="B229" s="77"/>
      <c r="C229" s="77"/>
      <c r="D229" s="77"/>
      <c r="E229" s="77"/>
      <c r="F229" s="77"/>
      <c r="G229" s="58"/>
    </row>
    <row r="230" spans="1:7" s="47" customFormat="1" ht="30" customHeight="1" thickBot="1" x14ac:dyDescent="0.3">
      <c r="A230" s="156" t="s">
        <v>12</v>
      </c>
      <c r="B230" s="164">
        <v>7</v>
      </c>
      <c r="C230" s="164"/>
      <c r="D230" s="157" t="s">
        <v>15</v>
      </c>
      <c r="E230" s="158" t="s">
        <v>85</v>
      </c>
      <c r="F230" s="159" t="s">
        <v>45</v>
      </c>
      <c r="G230" s="46"/>
    </row>
    <row r="231" spans="1:7" s="47" customFormat="1" ht="30" customHeight="1" thickBot="1" x14ac:dyDescent="0.3">
      <c r="A231" s="78" t="s">
        <v>5</v>
      </c>
      <c r="B231" s="161" t="s">
        <v>41</v>
      </c>
      <c r="C231" s="160">
        <v>48</v>
      </c>
      <c r="D231" s="78" t="s">
        <v>13</v>
      </c>
      <c r="E231" s="234" t="s">
        <v>14</v>
      </c>
      <c r="F231" s="235"/>
      <c r="G231" s="46"/>
    </row>
    <row r="232" spans="1:7" s="52" customFormat="1" x14ac:dyDescent="0.3">
      <c r="A232" s="48"/>
      <c r="B232" s="49"/>
      <c r="C232" s="152" t="str">
        <f xml:space="preserve"> IF(B232="","",setValueToTime(B232))</f>
        <v/>
      </c>
      <c r="D232" s="50"/>
      <c r="E232" s="226"/>
      <c r="F232" s="227"/>
      <c r="G232" s="51"/>
    </row>
    <row r="233" spans="1:7" s="52" customFormat="1" x14ac:dyDescent="0.3">
      <c r="A233" s="53"/>
      <c r="B233" s="54"/>
      <c r="C233" s="153" t="str">
        <f t="shared" ref="C233:C239" si="19" xml:space="preserve"> IF(B233="","",setValueToTime(B233))</f>
        <v/>
      </c>
      <c r="D233" s="55"/>
      <c r="E233" s="228"/>
      <c r="F233" s="229"/>
      <c r="G233" s="51"/>
    </row>
    <row r="234" spans="1:7" s="52" customFormat="1" x14ac:dyDescent="0.3">
      <c r="A234" s="53"/>
      <c r="B234" s="54"/>
      <c r="C234" s="153" t="str">
        <f t="shared" si="19"/>
        <v/>
      </c>
      <c r="D234" s="55"/>
      <c r="E234" s="228"/>
      <c r="F234" s="229"/>
      <c r="G234" s="51"/>
    </row>
    <row r="235" spans="1:7" s="52" customFormat="1" x14ac:dyDescent="0.3">
      <c r="A235" s="53"/>
      <c r="B235" s="54"/>
      <c r="C235" s="153" t="str">
        <f t="shared" si="19"/>
        <v/>
      </c>
      <c r="D235" s="55"/>
      <c r="E235" s="228"/>
      <c r="F235" s="229"/>
      <c r="G235" s="51"/>
    </row>
    <row r="236" spans="1:7" s="52" customFormat="1" x14ac:dyDescent="0.3">
      <c r="A236" s="54"/>
      <c r="B236" s="54"/>
      <c r="C236" s="154" t="str">
        <f t="shared" si="19"/>
        <v/>
      </c>
      <c r="D236" s="55"/>
      <c r="E236" s="228"/>
      <c r="F236" s="229"/>
      <c r="G236" s="51"/>
    </row>
    <row r="237" spans="1:7" s="52" customFormat="1" x14ac:dyDescent="0.3">
      <c r="A237" s="54"/>
      <c r="B237" s="54"/>
      <c r="C237" s="154" t="str">
        <f t="shared" si="19"/>
        <v/>
      </c>
      <c r="D237" s="55"/>
      <c r="E237" s="228"/>
      <c r="F237" s="229"/>
      <c r="G237" s="51"/>
    </row>
    <row r="238" spans="1:7" s="52" customFormat="1" x14ac:dyDescent="0.3">
      <c r="A238" s="54"/>
      <c r="B238" s="54"/>
      <c r="C238" s="154" t="str">
        <f t="shared" si="19"/>
        <v/>
      </c>
      <c r="D238" s="55"/>
      <c r="E238" s="228"/>
      <c r="F238" s="229"/>
      <c r="G238" s="51"/>
    </row>
    <row r="239" spans="1:7" s="52" customFormat="1" ht="15" thickBot="1" x14ac:dyDescent="0.35">
      <c r="A239" s="56"/>
      <c r="B239" s="56"/>
      <c r="C239" s="155" t="str">
        <f t="shared" si="19"/>
        <v/>
      </c>
      <c r="D239" s="57"/>
      <c r="E239" s="232"/>
      <c r="F239" s="233"/>
      <c r="G239" s="51"/>
    </row>
    <row r="240" spans="1:7" s="52" customFormat="1" ht="15" thickBot="1" x14ac:dyDescent="0.35">
      <c r="A240" s="162" t="s">
        <v>29</v>
      </c>
      <c r="B240" s="83">
        <f>SUM(B232:B239)</f>
        <v>0</v>
      </c>
      <c r="C240" s="162" t="str">
        <f xml:space="preserve"> setValueToTime(B240)</f>
        <v>0h</v>
      </c>
      <c r="D240" s="121"/>
      <c r="E240" s="236"/>
      <c r="F240" s="237"/>
      <c r="G240" s="51"/>
    </row>
    <row r="241" spans="1:7" s="59" customFormat="1" ht="15" thickBot="1" x14ac:dyDescent="0.35">
      <c r="A241" s="77"/>
      <c r="B241" s="77"/>
      <c r="C241" s="77"/>
      <c r="D241" s="77"/>
      <c r="E241" s="77"/>
      <c r="F241" s="77"/>
      <c r="G241" s="58"/>
    </row>
    <row r="242" spans="1:7" s="47" customFormat="1" ht="30" customHeight="1" thickBot="1" x14ac:dyDescent="0.3">
      <c r="A242" s="156" t="s">
        <v>12</v>
      </c>
      <c r="B242" s="164">
        <v>6</v>
      </c>
      <c r="C242" s="164"/>
      <c r="D242" s="157" t="s">
        <v>15</v>
      </c>
      <c r="E242" s="158" t="s">
        <v>86</v>
      </c>
      <c r="F242" s="159" t="s">
        <v>45</v>
      </c>
      <c r="G242" s="46"/>
    </row>
    <row r="243" spans="1:7" s="47" customFormat="1" ht="30" customHeight="1" thickBot="1" x14ac:dyDescent="0.3">
      <c r="A243" s="78" t="s">
        <v>5</v>
      </c>
      <c r="B243" s="161" t="s">
        <v>41</v>
      </c>
      <c r="C243" s="160">
        <v>38</v>
      </c>
      <c r="D243" s="78" t="s">
        <v>13</v>
      </c>
      <c r="E243" s="234" t="s">
        <v>14</v>
      </c>
      <c r="F243" s="235"/>
      <c r="G243" s="46"/>
    </row>
    <row r="244" spans="1:7" s="52" customFormat="1" x14ac:dyDescent="0.3">
      <c r="A244" s="48"/>
      <c r="B244" s="49"/>
      <c r="C244" s="152" t="str">
        <f xml:space="preserve"> IF(B244="","",setValueToTime(B244))</f>
        <v/>
      </c>
      <c r="D244" s="50"/>
      <c r="E244" s="226"/>
      <c r="F244" s="227"/>
      <c r="G244" s="51"/>
    </row>
    <row r="245" spans="1:7" s="52" customFormat="1" x14ac:dyDescent="0.3">
      <c r="A245" s="53"/>
      <c r="B245" s="54"/>
      <c r="C245" s="153" t="str">
        <f t="shared" ref="C245:C251" si="20" xml:space="preserve"> IF(B245="","",setValueToTime(B245))</f>
        <v/>
      </c>
      <c r="D245" s="55"/>
      <c r="E245" s="228"/>
      <c r="F245" s="229"/>
      <c r="G245" s="51"/>
    </row>
    <row r="246" spans="1:7" s="52" customFormat="1" x14ac:dyDescent="0.3">
      <c r="A246" s="53"/>
      <c r="B246" s="54"/>
      <c r="C246" s="153" t="str">
        <f t="shared" si="20"/>
        <v/>
      </c>
      <c r="D246" s="55"/>
      <c r="E246" s="228"/>
      <c r="F246" s="229"/>
      <c r="G246" s="51"/>
    </row>
    <row r="247" spans="1:7" s="52" customFormat="1" x14ac:dyDescent="0.3">
      <c r="A247" s="53"/>
      <c r="B247" s="54"/>
      <c r="C247" s="153" t="str">
        <f t="shared" si="20"/>
        <v/>
      </c>
      <c r="D247" s="55"/>
      <c r="E247" s="228"/>
      <c r="F247" s="229"/>
      <c r="G247" s="51"/>
    </row>
    <row r="248" spans="1:7" s="52" customFormat="1" x14ac:dyDescent="0.3">
      <c r="A248" s="54"/>
      <c r="B248" s="54"/>
      <c r="C248" s="154" t="str">
        <f t="shared" si="20"/>
        <v/>
      </c>
      <c r="D248" s="55"/>
      <c r="E248" s="228"/>
      <c r="F248" s="229"/>
      <c r="G248" s="51"/>
    </row>
    <row r="249" spans="1:7" s="52" customFormat="1" x14ac:dyDescent="0.3">
      <c r="A249" s="54"/>
      <c r="B249" s="54"/>
      <c r="C249" s="154" t="str">
        <f t="shared" si="20"/>
        <v/>
      </c>
      <c r="D249" s="55"/>
      <c r="E249" s="228"/>
      <c r="F249" s="229"/>
      <c r="G249" s="51"/>
    </row>
    <row r="250" spans="1:7" s="52" customFormat="1" x14ac:dyDescent="0.3">
      <c r="A250" s="54"/>
      <c r="B250" s="54"/>
      <c r="C250" s="154" t="str">
        <f t="shared" si="20"/>
        <v/>
      </c>
      <c r="D250" s="55"/>
      <c r="E250" s="228"/>
      <c r="F250" s="229"/>
      <c r="G250" s="51"/>
    </row>
    <row r="251" spans="1:7" s="52" customFormat="1" ht="15" thickBot="1" x14ac:dyDescent="0.35">
      <c r="A251" s="56"/>
      <c r="B251" s="56"/>
      <c r="C251" s="155" t="str">
        <f t="shared" si="20"/>
        <v/>
      </c>
      <c r="D251" s="57"/>
      <c r="E251" s="232"/>
      <c r="F251" s="233"/>
      <c r="G251" s="51"/>
    </row>
    <row r="252" spans="1:7" s="52" customFormat="1" ht="15" thickBot="1" x14ac:dyDescent="0.35">
      <c r="A252" s="162" t="s">
        <v>29</v>
      </c>
      <c r="B252" s="83">
        <f>SUM(B244:B251)</f>
        <v>0</v>
      </c>
      <c r="C252" s="162" t="str">
        <f xml:space="preserve"> setValueToTime(B252)</f>
        <v>0h</v>
      </c>
      <c r="D252" s="121"/>
      <c r="E252" s="236"/>
      <c r="F252" s="237"/>
      <c r="G252" s="51"/>
    </row>
    <row r="253" spans="1:7" s="59" customFormat="1" ht="15" thickBot="1" x14ac:dyDescent="0.35">
      <c r="A253" s="77"/>
      <c r="B253" s="77"/>
      <c r="C253" s="77"/>
      <c r="D253" s="77"/>
      <c r="E253" s="77"/>
      <c r="F253" s="77"/>
      <c r="G253" s="58"/>
    </row>
    <row r="254" spans="1:7" s="47" customFormat="1" ht="30" customHeight="1" thickBot="1" x14ac:dyDescent="0.3">
      <c r="A254" s="156" t="s">
        <v>12</v>
      </c>
      <c r="B254" s="164">
        <v>5</v>
      </c>
      <c r="C254" s="164"/>
      <c r="D254" s="157" t="s">
        <v>15</v>
      </c>
      <c r="E254" s="158" t="s">
        <v>73</v>
      </c>
      <c r="F254" s="159" t="s">
        <v>44</v>
      </c>
      <c r="G254" s="46"/>
    </row>
    <row r="255" spans="1:7" s="47" customFormat="1" ht="30" customHeight="1" thickBot="1" x14ac:dyDescent="0.3">
      <c r="A255" s="78" t="s">
        <v>5</v>
      </c>
      <c r="B255" s="161" t="s">
        <v>41</v>
      </c>
      <c r="C255" s="160">
        <v>38</v>
      </c>
      <c r="D255" s="78" t="s">
        <v>13</v>
      </c>
      <c r="E255" s="234" t="s">
        <v>14</v>
      </c>
      <c r="F255" s="235"/>
      <c r="G255" s="46"/>
    </row>
    <row r="256" spans="1:7" s="52" customFormat="1" x14ac:dyDescent="0.3">
      <c r="A256" s="48"/>
      <c r="B256" s="49"/>
      <c r="C256" s="152" t="str">
        <f xml:space="preserve"> IF(B256="","",setValueToTime(B256))</f>
        <v/>
      </c>
      <c r="D256" s="50"/>
      <c r="E256" s="226"/>
      <c r="F256" s="227"/>
      <c r="G256" s="51"/>
    </row>
    <row r="257" spans="1:7" s="52" customFormat="1" x14ac:dyDescent="0.3">
      <c r="A257" s="53"/>
      <c r="B257" s="54"/>
      <c r="C257" s="153" t="str">
        <f t="shared" ref="C257:C263" si="21" xml:space="preserve"> IF(B257="","",setValueToTime(B257))</f>
        <v/>
      </c>
      <c r="D257" s="55"/>
      <c r="E257" s="228"/>
      <c r="F257" s="229"/>
      <c r="G257" s="51"/>
    </row>
    <row r="258" spans="1:7" s="52" customFormat="1" x14ac:dyDescent="0.3">
      <c r="A258" s="53"/>
      <c r="B258" s="54"/>
      <c r="C258" s="153" t="str">
        <f t="shared" si="21"/>
        <v/>
      </c>
      <c r="D258" s="55"/>
      <c r="E258" s="228"/>
      <c r="F258" s="229"/>
      <c r="G258" s="51"/>
    </row>
    <row r="259" spans="1:7" s="52" customFormat="1" x14ac:dyDescent="0.3">
      <c r="A259" s="53"/>
      <c r="B259" s="54"/>
      <c r="C259" s="153" t="str">
        <f t="shared" si="21"/>
        <v/>
      </c>
      <c r="D259" s="55"/>
      <c r="E259" s="228"/>
      <c r="F259" s="229"/>
      <c r="G259" s="51"/>
    </row>
    <row r="260" spans="1:7" s="52" customFormat="1" x14ac:dyDescent="0.3">
      <c r="A260" s="54"/>
      <c r="B260" s="54"/>
      <c r="C260" s="154" t="str">
        <f t="shared" si="21"/>
        <v/>
      </c>
      <c r="D260" s="55"/>
      <c r="E260" s="228"/>
      <c r="F260" s="229"/>
      <c r="G260" s="51"/>
    </row>
    <row r="261" spans="1:7" s="52" customFormat="1" x14ac:dyDescent="0.3">
      <c r="A261" s="54"/>
      <c r="B261" s="54"/>
      <c r="C261" s="154" t="str">
        <f t="shared" si="21"/>
        <v/>
      </c>
      <c r="D261" s="55"/>
      <c r="E261" s="228"/>
      <c r="F261" s="229"/>
      <c r="G261" s="51"/>
    </row>
    <row r="262" spans="1:7" s="52" customFormat="1" x14ac:dyDescent="0.3">
      <c r="A262" s="54"/>
      <c r="B262" s="54"/>
      <c r="C262" s="154" t="str">
        <f t="shared" si="21"/>
        <v/>
      </c>
      <c r="D262" s="55"/>
      <c r="E262" s="228"/>
      <c r="F262" s="229"/>
      <c r="G262" s="51"/>
    </row>
    <row r="263" spans="1:7" s="52" customFormat="1" ht="15" thickBot="1" x14ac:dyDescent="0.35">
      <c r="A263" s="56"/>
      <c r="B263" s="56"/>
      <c r="C263" s="155" t="str">
        <f t="shared" si="21"/>
        <v/>
      </c>
      <c r="D263" s="57"/>
      <c r="E263" s="232"/>
      <c r="F263" s="233"/>
      <c r="G263" s="51"/>
    </row>
    <row r="264" spans="1:7" s="52" customFormat="1" ht="15" thickBot="1" x14ac:dyDescent="0.35">
      <c r="A264" s="162" t="s">
        <v>29</v>
      </c>
      <c r="B264" s="83">
        <f>SUM(B256:B263)</f>
        <v>0</v>
      </c>
      <c r="C264" s="162" t="str">
        <f xml:space="preserve"> setValueToTime(B264)</f>
        <v>0h</v>
      </c>
      <c r="D264" s="121"/>
      <c r="E264" s="236"/>
      <c r="F264" s="237"/>
      <c r="G264" s="51"/>
    </row>
    <row r="265" spans="1:7" s="59" customFormat="1" ht="15" thickBot="1" x14ac:dyDescent="0.35">
      <c r="A265" s="77"/>
      <c r="B265" s="77"/>
      <c r="C265" s="77"/>
      <c r="D265" s="77"/>
      <c r="E265" s="77"/>
      <c r="F265" s="77"/>
      <c r="G265" s="58"/>
    </row>
    <row r="266" spans="1:7" s="47" customFormat="1" ht="30" customHeight="1" thickBot="1" x14ac:dyDescent="0.3">
      <c r="A266" s="156" t="s">
        <v>12</v>
      </c>
      <c r="B266" s="164">
        <v>4</v>
      </c>
      <c r="C266" s="164"/>
      <c r="D266" s="157" t="s">
        <v>15</v>
      </c>
      <c r="E266" s="158" t="s">
        <v>73</v>
      </c>
      <c r="F266" s="159" t="s">
        <v>45</v>
      </c>
      <c r="G266" s="46"/>
    </row>
    <row r="267" spans="1:7" s="47" customFormat="1" ht="30" customHeight="1" thickBot="1" x14ac:dyDescent="0.3">
      <c r="A267" s="78" t="s">
        <v>5</v>
      </c>
      <c r="B267" s="161" t="s">
        <v>41</v>
      </c>
      <c r="C267" s="160">
        <v>38</v>
      </c>
      <c r="D267" s="78" t="s">
        <v>13</v>
      </c>
      <c r="E267" s="234" t="s">
        <v>14</v>
      </c>
      <c r="F267" s="235"/>
      <c r="G267" s="46"/>
    </row>
    <row r="268" spans="1:7" s="52" customFormat="1" x14ac:dyDescent="0.3">
      <c r="A268" s="48"/>
      <c r="B268" s="49"/>
      <c r="C268" s="152" t="str">
        <f xml:space="preserve"> IF(B268="","",setValueToTime(B268))</f>
        <v/>
      </c>
      <c r="D268" s="50"/>
      <c r="E268" s="226"/>
      <c r="F268" s="227"/>
      <c r="G268" s="51"/>
    </row>
    <row r="269" spans="1:7" s="52" customFormat="1" x14ac:dyDescent="0.3">
      <c r="A269" s="53"/>
      <c r="B269" s="54"/>
      <c r="C269" s="153" t="str">
        <f t="shared" ref="C269:C275" si="22" xml:space="preserve"> IF(B269="","",setValueToTime(B269))</f>
        <v/>
      </c>
      <c r="D269" s="55"/>
      <c r="E269" s="228"/>
      <c r="F269" s="229"/>
      <c r="G269" s="51"/>
    </row>
    <row r="270" spans="1:7" s="52" customFormat="1" x14ac:dyDescent="0.3">
      <c r="A270" s="53"/>
      <c r="B270" s="54"/>
      <c r="C270" s="153" t="str">
        <f t="shared" si="22"/>
        <v/>
      </c>
      <c r="D270" s="55"/>
      <c r="E270" s="228"/>
      <c r="F270" s="229"/>
      <c r="G270" s="51"/>
    </row>
    <row r="271" spans="1:7" s="52" customFormat="1" x14ac:dyDescent="0.3">
      <c r="A271" s="53"/>
      <c r="B271" s="54"/>
      <c r="C271" s="153" t="str">
        <f t="shared" si="22"/>
        <v/>
      </c>
      <c r="D271" s="55"/>
      <c r="E271" s="228"/>
      <c r="F271" s="229"/>
      <c r="G271" s="51"/>
    </row>
    <row r="272" spans="1:7" s="52" customFormat="1" x14ac:dyDescent="0.3">
      <c r="A272" s="54"/>
      <c r="B272" s="54"/>
      <c r="C272" s="154" t="str">
        <f t="shared" si="22"/>
        <v/>
      </c>
      <c r="D272" s="55"/>
      <c r="E272" s="228"/>
      <c r="F272" s="229"/>
      <c r="G272" s="51"/>
    </row>
    <row r="273" spans="1:7" s="52" customFormat="1" x14ac:dyDescent="0.3">
      <c r="A273" s="54"/>
      <c r="B273" s="54"/>
      <c r="C273" s="154" t="str">
        <f t="shared" si="22"/>
        <v/>
      </c>
      <c r="D273" s="55"/>
      <c r="E273" s="228"/>
      <c r="F273" s="229"/>
      <c r="G273" s="51"/>
    </row>
    <row r="274" spans="1:7" s="52" customFormat="1" x14ac:dyDescent="0.3">
      <c r="A274" s="54"/>
      <c r="B274" s="54"/>
      <c r="C274" s="154" t="str">
        <f t="shared" si="22"/>
        <v/>
      </c>
      <c r="D274" s="55"/>
      <c r="E274" s="228"/>
      <c r="F274" s="229"/>
      <c r="G274" s="51"/>
    </row>
    <row r="275" spans="1:7" s="52" customFormat="1" ht="15" thickBot="1" x14ac:dyDescent="0.35">
      <c r="A275" s="56"/>
      <c r="B275" s="56"/>
      <c r="C275" s="155" t="str">
        <f t="shared" si="22"/>
        <v/>
      </c>
      <c r="D275" s="57"/>
      <c r="E275" s="232"/>
      <c r="F275" s="233"/>
      <c r="G275" s="51"/>
    </row>
    <row r="276" spans="1:7" s="52" customFormat="1" ht="15" thickBot="1" x14ac:dyDescent="0.35">
      <c r="A276" s="162" t="s">
        <v>29</v>
      </c>
      <c r="B276" s="83">
        <f>SUM(B268:B275)</f>
        <v>0</v>
      </c>
      <c r="C276" s="162" t="str">
        <f xml:space="preserve"> setValueToTime(B276)</f>
        <v>0h</v>
      </c>
      <c r="D276" s="121"/>
      <c r="E276" s="236"/>
      <c r="F276" s="237"/>
      <c r="G276" s="51"/>
    </row>
    <row r="277" spans="1:7" s="59" customFormat="1" ht="15" thickBot="1" x14ac:dyDescent="0.35">
      <c r="A277" s="77"/>
      <c r="B277" s="77"/>
      <c r="C277" s="77"/>
      <c r="D277" s="77"/>
      <c r="E277" s="77"/>
      <c r="F277" s="77"/>
      <c r="G277" s="58"/>
    </row>
    <row r="278" spans="1:7" s="47" customFormat="1" ht="30" customHeight="1" thickBot="1" x14ac:dyDescent="0.3">
      <c r="A278" s="156" t="s">
        <v>12</v>
      </c>
      <c r="B278" s="164">
        <v>3</v>
      </c>
      <c r="C278" s="164"/>
      <c r="D278" s="157" t="s">
        <v>15</v>
      </c>
      <c r="E278" s="158" t="s">
        <v>74</v>
      </c>
      <c r="F278" s="159" t="s">
        <v>44</v>
      </c>
      <c r="G278" s="46"/>
    </row>
    <row r="279" spans="1:7" s="47" customFormat="1" ht="30" customHeight="1" thickBot="1" x14ac:dyDescent="0.3">
      <c r="A279" s="78" t="s">
        <v>5</v>
      </c>
      <c r="B279" s="161" t="s">
        <v>41</v>
      </c>
      <c r="C279" s="160">
        <v>38</v>
      </c>
      <c r="D279" s="78" t="s">
        <v>13</v>
      </c>
      <c r="E279" s="234" t="s">
        <v>14</v>
      </c>
      <c r="F279" s="235"/>
      <c r="G279" s="46"/>
    </row>
    <row r="280" spans="1:7" s="52" customFormat="1" x14ac:dyDescent="0.3">
      <c r="A280" s="48"/>
      <c r="B280" s="49"/>
      <c r="C280" s="152" t="str">
        <f xml:space="preserve"> IF(B280="","",setValueToTime(B280))</f>
        <v/>
      </c>
      <c r="D280" s="50"/>
      <c r="E280" s="226"/>
      <c r="F280" s="227"/>
      <c r="G280" s="51"/>
    </row>
    <row r="281" spans="1:7" s="52" customFormat="1" x14ac:dyDescent="0.3">
      <c r="A281" s="53"/>
      <c r="B281" s="54"/>
      <c r="C281" s="153" t="str">
        <f t="shared" ref="C281:C287" si="23" xml:space="preserve"> IF(B281="","",setValueToTime(B281))</f>
        <v/>
      </c>
      <c r="D281" s="55"/>
      <c r="E281" s="228"/>
      <c r="F281" s="229"/>
      <c r="G281" s="51"/>
    </row>
    <row r="282" spans="1:7" s="52" customFormat="1" x14ac:dyDescent="0.3">
      <c r="A282" s="53"/>
      <c r="B282" s="54"/>
      <c r="C282" s="153" t="str">
        <f t="shared" si="23"/>
        <v/>
      </c>
      <c r="D282" s="55"/>
      <c r="E282" s="228"/>
      <c r="F282" s="229"/>
      <c r="G282" s="51"/>
    </row>
    <row r="283" spans="1:7" s="52" customFormat="1" x14ac:dyDescent="0.3">
      <c r="A283" s="53"/>
      <c r="B283" s="54"/>
      <c r="C283" s="153" t="str">
        <f t="shared" si="23"/>
        <v/>
      </c>
      <c r="D283" s="55"/>
      <c r="E283" s="228"/>
      <c r="F283" s="229"/>
      <c r="G283" s="51"/>
    </row>
    <row r="284" spans="1:7" s="52" customFormat="1" x14ac:dyDescent="0.3">
      <c r="A284" s="54"/>
      <c r="B284" s="54"/>
      <c r="C284" s="154" t="str">
        <f t="shared" si="23"/>
        <v/>
      </c>
      <c r="D284" s="55"/>
      <c r="E284" s="228"/>
      <c r="F284" s="229"/>
      <c r="G284" s="51"/>
    </row>
    <row r="285" spans="1:7" s="52" customFormat="1" x14ac:dyDescent="0.3">
      <c r="A285" s="54"/>
      <c r="B285" s="54"/>
      <c r="C285" s="154" t="str">
        <f t="shared" si="23"/>
        <v/>
      </c>
      <c r="D285" s="55"/>
      <c r="E285" s="228"/>
      <c r="F285" s="229"/>
      <c r="G285" s="51"/>
    </row>
    <row r="286" spans="1:7" s="52" customFormat="1" x14ac:dyDescent="0.3">
      <c r="A286" s="54"/>
      <c r="B286" s="54"/>
      <c r="C286" s="154" t="str">
        <f t="shared" si="23"/>
        <v/>
      </c>
      <c r="D286" s="55"/>
      <c r="E286" s="228"/>
      <c r="F286" s="229"/>
      <c r="G286" s="51"/>
    </row>
    <row r="287" spans="1:7" s="52" customFormat="1" ht="15" thickBot="1" x14ac:dyDescent="0.35">
      <c r="A287" s="56"/>
      <c r="B287" s="56"/>
      <c r="C287" s="155" t="str">
        <f t="shared" si="23"/>
        <v/>
      </c>
      <c r="D287" s="57"/>
      <c r="E287" s="232"/>
      <c r="F287" s="233"/>
      <c r="G287" s="51"/>
    </row>
    <row r="288" spans="1:7" s="52" customFormat="1" ht="15" thickBot="1" x14ac:dyDescent="0.35">
      <c r="A288" s="162" t="s">
        <v>29</v>
      </c>
      <c r="B288" s="83">
        <f>SUM(B280:B287)</f>
        <v>0</v>
      </c>
      <c r="C288" s="162" t="str">
        <f xml:space="preserve"> setValueToTime(B288)</f>
        <v>0h</v>
      </c>
      <c r="D288" s="121"/>
      <c r="E288" s="236"/>
      <c r="F288" s="237"/>
      <c r="G288" s="51"/>
    </row>
    <row r="289" spans="1:7" s="59" customFormat="1" ht="15" thickBot="1" x14ac:dyDescent="0.35">
      <c r="A289" s="77"/>
      <c r="B289" s="77"/>
      <c r="C289" s="77"/>
      <c r="D289" s="77"/>
      <c r="E289" s="77"/>
      <c r="F289" s="77"/>
      <c r="G289" s="58"/>
    </row>
    <row r="290" spans="1:7" s="47" customFormat="1" ht="30" customHeight="1" thickBot="1" x14ac:dyDescent="0.3">
      <c r="A290" s="156" t="s">
        <v>12</v>
      </c>
      <c r="B290" s="164">
        <v>2</v>
      </c>
      <c r="C290" s="164"/>
      <c r="D290" s="157" t="s">
        <v>15</v>
      </c>
      <c r="E290" s="158" t="s">
        <v>74</v>
      </c>
      <c r="F290" s="159" t="s">
        <v>45</v>
      </c>
      <c r="G290" s="46"/>
    </row>
    <row r="291" spans="1:7" s="47" customFormat="1" ht="30" customHeight="1" thickBot="1" x14ac:dyDescent="0.3">
      <c r="A291" s="78" t="s">
        <v>5</v>
      </c>
      <c r="B291" s="161" t="s">
        <v>41</v>
      </c>
      <c r="C291" s="160">
        <v>48</v>
      </c>
      <c r="D291" s="78" t="s">
        <v>13</v>
      </c>
      <c r="E291" s="234" t="s">
        <v>14</v>
      </c>
      <c r="F291" s="235"/>
      <c r="G291" s="46"/>
    </row>
    <row r="292" spans="1:7" s="52" customFormat="1" ht="27" x14ac:dyDescent="0.3">
      <c r="A292" s="48" t="s">
        <v>32</v>
      </c>
      <c r="B292" s="49">
        <v>5</v>
      </c>
      <c r="C292" s="152" t="str">
        <f xml:space="preserve"> IF(B292="","",setValueToTime(B292))</f>
        <v>0h25min</v>
      </c>
      <c r="D292" s="172" t="s">
        <v>114</v>
      </c>
      <c r="E292" s="226"/>
      <c r="F292" s="227"/>
      <c r="G292" s="51"/>
    </row>
    <row r="293" spans="1:7" s="52" customFormat="1" ht="40.5" x14ac:dyDescent="0.3">
      <c r="A293" s="53" t="s">
        <v>88</v>
      </c>
      <c r="B293" s="54">
        <v>7</v>
      </c>
      <c r="C293" s="153" t="str">
        <f t="shared" ref="C293:C299" si="24" xml:space="preserve"> IF(B293="","",setValueToTime(B293))</f>
        <v>0h35min</v>
      </c>
      <c r="D293" s="174" t="s">
        <v>117</v>
      </c>
      <c r="E293" s="238" t="s">
        <v>118</v>
      </c>
      <c r="F293" s="239"/>
      <c r="G293" s="51"/>
    </row>
    <row r="294" spans="1:7" s="52" customFormat="1" ht="135" x14ac:dyDescent="0.3">
      <c r="A294" s="53" t="s">
        <v>92</v>
      </c>
      <c r="B294" s="54">
        <v>7</v>
      </c>
      <c r="C294" s="153" t="str">
        <f t="shared" si="24"/>
        <v>0h35min</v>
      </c>
      <c r="D294" s="174" t="s">
        <v>115</v>
      </c>
      <c r="E294" s="238" t="s">
        <v>116</v>
      </c>
      <c r="F294" s="239"/>
      <c r="G294" s="51"/>
    </row>
    <row r="295" spans="1:7" s="52" customFormat="1" ht="27" x14ac:dyDescent="0.3">
      <c r="A295" s="53" t="s">
        <v>17</v>
      </c>
      <c r="B295" s="54">
        <v>3</v>
      </c>
      <c r="C295" s="153" t="str">
        <f t="shared" si="24"/>
        <v>0h15min</v>
      </c>
      <c r="D295" s="174" t="s">
        <v>119</v>
      </c>
      <c r="E295" s="228"/>
      <c r="F295" s="229"/>
      <c r="G295" s="51"/>
    </row>
    <row r="296" spans="1:7" s="52" customFormat="1" ht="40.5" x14ac:dyDescent="0.3">
      <c r="A296" s="54" t="s">
        <v>96</v>
      </c>
      <c r="B296" s="54"/>
      <c r="C296" s="154" t="str">
        <f t="shared" si="24"/>
        <v/>
      </c>
      <c r="D296" s="174" t="s">
        <v>120</v>
      </c>
      <c r="E296" s="228"/>
      <c r="F296" s="229"/>
      <c r="G296" s="51"/>
    </row>
    <row r="297" spans="1:7" s="52" customFormat="1" ht="40.5" x14ac:dyDescent="0.3">
      <c r="A297" s="54" t="s">
        <v>88</v>
      </c>
      <c r="B297" s="54">
        <v>2</v>
      </c>
      <c r="C297" s="154" t="str">
        <f t="shared" si="24"/>
        <v>0h10min</v>
      </c>
      <c r="D297" s="174" t="s">
        <v>121</v>
      </c>
      <c r="E297" s="228"/>
      <c r="F297" s="229"/>
      <c r="G297" s="51"/>
    </row>
    <row r="298" spans="1:7" s="52" customFormat="1" ht="94.5" x14ac:dyDescent="0.3">
      <c r="A298" s="54" t="s">
        <v>96</v>
      </c>
      <c r="B298" s="54">
        <v>11</v>
      </c>
      <c r="C298" s="154" t="str">
        <f t="shared" si="24"/>
        <v>0h55min</v>
      </c>
      <c r="D298" s="174" t="s">
        <v>125</v>
      </c>
      <c r="E298" s="228"/>
      <c r="F298" s="229"/>
      <c r="G298" s="51"/>
    </row>
    <row r="299" spans="1:7" s="52" customFormat="1" ht="27.75" thickBot="1" x14ac:dyDescent="0.35">
      <c r="A299" s="56" t="s">
        <v>17</v>
      </c>
      <c r="B299" s="56">
        <v>3</v>
      </c>
      <c r="C299" s="155" t="str">
        <f t="shared" si="24"/>
        <v>0h15min</v>
      </c>
      <c r="D299" s="240" t="s">
        <v>124</v>
      </c>
      <c r="E299" s="232"/>
      <c r="F299" s="233"/>
      <c r="G299" s="51"/>
    </row>
    <row r="300" spans="1:7" s="52" customFormat="1" ht="15" thickBot="1" x14ac:dyDescent="0.35">
      <c r="A300" s="162" t="s">
        <v>29</v>
      </c>
      <c r="B300" s="83">
        <f>SUM(B292:B299)</f>
        <v>38</v>
      </c>
      <c r="C300" s="162" t="str">
        <f xml:space="preserve"> setValueToTime(B300)</f>
        <v>3h10min</v>
      </c>
      <c r="D300" s="121"/>
      <c r="E300" s="236"/>
      <c r="F300" s="237"/>
      <c r="G300" s="51"/>
    </row>
    <row r="301" spans="1:7" s="59" customFormat="1" ht="15" thickBot="1" x14ac:dyDescent="0.35">
      <c r="A301" s="77"/>
      <c r="B301" s="77"/>
      <c r="C301" s="77"/>
      <c r="D301" s="77"/>
      <c r="E301" s="77"/>
      <c r="F301" s="77"/>
      <c r="G301" s="58"/>
    </row>
    <row r="302" spans="1:7" s="47" customFormat="1" ht="30" customHeight="1" thickBot="1" x14ac:dyDescent="0.3">
      <c r="A302" s="156" t="s">
        <v>12</v>
      </c>
      <c r="B302" s="164">
        <v>1</v>
      </c>
      <c r="C302" s="164"/>
      <c r="D302" s="157" t="s">
        <v>15</v>
      </c>
      <c r="E302" s="158" t="s">
        <v>42</v>
      </c>
      <c r="F302" s="159" t="s">
        <v>44</v>
      </c>
      <c r="G302" s="46"/>
    </row>
    <row r="303" spans="1:7" s="47" customFormat="1" ht="30" customHeight="1" thickBot="1" x14ac:dyDescent="0.3">
      <c r="A303" s="78" t="s">
        <v>5</v>
      </c>
      <c r="B303" s="161" t="s">
        <v>41</v>
      </c>
      <c r="C303" s="160">
        <v>38</v>
      </c>
      <c r="D303" s="78" t="s">
        <v>13</v>
      </c>
      <c r="E303" s="234" t="s">
        <v>14</v>
      </c>
      <c r="F303" s="235"/>
      <c r="G303" s="46"/>
    </row>
    <row r="304" spans="1:7" s="52" customFormat="1" ht="27" x14ac:dyDescent="0.3">
      <c r="A304" s="48" t="s">
        <v>89</v>
      </c>
      <c r="B304" s="49">
        <v>10</v>
      </c>
      <c r="C304" s="152" t="str">
        <f xml:space="preserve"> IF(B304="","",setValueToTime(B304))</f>
        <v>0h50min</v>
      </c>
      <c r="D304" s="172" t="s">
        <v>109</v>
      </c>
      <c r="E304" s="226"/>
      <c r="F304" s="227"/>
      <c r="G304" s="51"/>
    </row>
    <row r="305" spans="1:7" s="52" customFormat="1" ht="27" x14ac:dyDescent="0.3">
      <c r="A305" s="182" t="s">
        <v>92</v>
      </c>
      <c r="B305" s="183">
        <v>12</v>
      </c>
      <c r="C305" s="153" t="str">
        <f t="shared" ref="C305:C309" si="25" xml:space="preserve"> IF(B305="","",setValueToTime(B305))</f>
        <v>1h</v>
      </c>
      <c r="D305" s="184" t="s">
        <v>113</v>
      </c>
      <c r="E305" s="185"/>
      <c r="F305" s="186"/>
      <c r="G305" s="51"/>
    </row>
    <row r="306" spans="1:7" s="52" customFormat="1" ht="27" x14ac:dyDescent="0.3">
      <c r="A306" s="53" t="s">
        <v>91</v>
      </c>
      <c r="B306" s="54">
        <v>6</v>
      </c>
      <c r="C306" s="153" t="str">
        <f t="shared" si="25"/>
        <v>0h30min</v>
      </c>
      <c r="D306" s="174" t="s">
        <v>110</v>
      </c>
      <c r="E306" s="228"/>
      <c r="F306" s="229"/>
      <c r="G306" s="51"/>
    </row>
    <row r="307" spans="1:7" s="52" customFormat="1" ht="40.5" x14ac:dyDescent="0.3">
      <c r="A307" s="53" t="s">
        <v>32</v>
      </c>
      <c r="B307" s="54">
        <v>9</v>
      </c>
      <c r="C307" s="153" t="str">
        <f t="shared" si="25"/>
        <v>0h45min</v>
      </c>
      <c r="D307" s="174" t="s">
        <v>111</v>
      </c>
      <c r="E307" s="187"/>
      <c r="F307" s="188"/>
      <c r="G307" s="51"/>
    </row>
    <row r="308" spans="1:7" s="52" customFormat="1" ht="27" x14ac:dyDescent="0.3">
      <c r="A308" s="53" t="s">
        <v>17</v>
      </c>
      <c r="B308" s="54">
        <v>1</v>
      </c>
      <c r="C308" s="153" t="str">
        <f t="shared" si="25"/>
        <v>0h5min</v>
      </c>
      <c r="D308" s="174" t="s">
        <v>123</v>
      </c>
      <c r="E308" s="187"/>
      <c r="F308" s="188"/>
      <c r="G308" s="51"/>
    </row>
    <row r="309" spans="1:7" s="52" customFormat="1" ht="27.75" thickBot="1" x14ac:dyDescent="0.35">
      <c r="A309" s="53"/>
      <c r="B309" s="54"/>
      <c r="C309" s="153" t="str">
        <f t="shared" si="25"/>
        <v/>
      </c>
      <c r="D309" s="174" t="s">
        <v>122</v>
      </c>
      <c r="E309" s="228"/>
      <c r="F309" s="229"/>
      <c r="G309" s="51"/>
    </row>
    <row r="310" spans="1:7" s="52" customFormat="1" ht="15" thickBot="1" x14ac:dyDescent="0.35">
      <c r="A310" s="162" t="s">
        <v>29</v>
      </c>
      <c r="B310" s="83">
        <f>SUM(B304:B309)</f>
        <v>38</v>
      </c>
      <c r="C310" s="162" t="str">
        <f xml:space="preserve"> setValueToTime(B310)</f>
        <v>3h10min</v>
      </c>
      <c r="D310" s="121"/>
      <c r="E310" s="236"/>
      <c r="F310" s="237"/>
      <c r="G310" s="51"/>
    </row>
    <row r="311" spans="1:7" s="59" customFormat="1" x14ac:dyDescent="0.3">
      <c r="A311" s="77"/>
      <c r="B311" s="77"/>
      <c r="C311" s="77"/>
      <c r="D311" s="77"/>
      <c r="E311" s="77"/>
      <c r="F311" s="77"/>
      <c r="G311" s="58"/>
    </row>
  </sheetData>
  <sheetProtection formatRows="0" insertRows="0" insertHyperlinks="0" deleteRows="0" selectLockedCells="1"/>
  <mergeCells count="255">
    <mergeCell ref="E310:F310"/>
    <mergeCell ref="E303:F303"/>
    <mergeCell ref="E304:F304"/>
    <mergeCell ref="E306:F306"/>
    <mergeCell ref="E309:F309"/>
    <mergeCell ref="E297:F297"/>
    <mergeCell ref="E298:F298"/>
    <mergeCell ref="E299:F299"/>
    <mergeCell ref="E300:F300"/>
    <mergeCell ref="E279:F279"/>
    <mergeCell ref="E280:F280"/>
    <mergeCell ref="E281:F281"/>
    <mergeCell ref="E282:F282"/>
    <mergeCell ref="E283:F283"/>
    <mergeCell ref="E284:F284"/>
    <mergeCell ref="E291:F291"/>
    <mergeCell ref="E292:F292"/>
    <mergeCell ref="E293:F293"/>
    <mergeCell ref="E294:F294"/>
    <mergeCell ref="E295:F295"/>
    <mergeCell ref="E296:F296"/>
    <mergeCell ref="E285:F285"/>
    <mergeCell ref="E286:F286"/>
    <mergeCell ref="E287:F287"/>
    <mergeCell ref="E288:F288"/>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s>
  <phoneticPr fontId="0" type="noConversion"/>
  <conditionalFormatting sqref="B310">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304:B309 B292:B299 B280:B287 B268:B275 B256:B263 B244:B251 B232:B239 B220:B227 B208:B215 B196:B203 B184:B191 B172:B179 B160:B167 B148:B155 B136:B143 B124:B131 B112:B119 B100:B107 B88:B95 B76:B83 B64:B71 B52:B59 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10 B300 B288 B276 B264 B252 B240 B228 B216 B204 B192 B180 B168 B156 B144 B132 B120 B108 B96 B84 B72 B60 B48 B36 B24 B12">
      <formula1>0</formula1>
      <formula2>60</formula2>
    </dataValidation>
    <dataValidation type="list" allowBlank="1" showInputMessage="1" showErrorMessage="1" sqref="A304:A309 A292:A299 A280:A287 A268:A275 A256:A263 A244:A251 A232:A239 A220:A227 A208:A215 A196:A203 A184:A191 A172:A179 A160:A167 A148:A155 A136:A143 A124:A131 A112:A119 A100:A107 A88:A95 A76:A83 A64:A71 A52:A59 A40:A47 A28:A35 A16:A23 A4:A11">
      <formula1>ListeTaches</formula1>
    </dataValidation>
  </dataValidations>
  <hyperlinks>
    <hyperlink ref="E294:F294" r:id="rId1" display="Image de l'erreur 403"/>
    <hyperlink ref="E293:F293" r:id="rId2" display="Image de l'interface"/>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3"/>
  <headerFooter alignWithMargins="0">
    <oddHeader>&amp;L&amp;"ETML,Normal"&amp;14ETML&amp;R&amp;14&amp;USection Informatique</oddHeader>
    <oddFooter>&amp;L&amp;14&amp;D - GGZ&amp;C&amp;14&amp;F - &amp;A&amp;R&amp;14&amp;P/&amp;N</oddFooter>
  </headerFooter>
  <drawing r:id="rId4"/>
  <legacyDrawing r:id="rId5"/>
  <controls>
    <mc:AlternateContent xmlns:mc="http://schemas.openxmlformats.org/markup-compatibility/2006">
      <mc:Choice Requires="x14">
        <control shapeId="9224" r:id="rId6" name="btnRapatriementJournal">
          <controlPr defaultSize="0" autoLine="0" r:id="rId7">
            <anchor moveWithCells="1">
              <from>
                <xdr:col>0</xdr:col>
                <xdr:colOff>104775</xdr:colOff>
                <xdr:row>0</xdr:row>
                <xdr:rowOff>85725</xdr:rowOff>
              </from>
              <to>
                <xdr:col>1</xdr:col>
                <xdr:colOff>457200</xdr:colOff>
                <xdr:row>0</xdr:row>
                <xdr:rowOff>552450</xdr:rowOff>
              </to>
            </anchor>
          </controlPr>
        </control>
      </mc:Choice>
      <mc:Fallback>
        <control shapeId="9224" r:id="rId6" name="btnRapatriementJournal"/>
      </mc:Fallback>
    </mc:AlternateContent>
    <mc:AlternateContent xmlns:mc="http://schemas.openxmlformats.org/markup-compatibility/2006">
      <mc:Choice Requires="x14">
        <control shapeId="9220" r:id="rId8" name="btnAjoutSeqJournal">
          <controlPr defaultSize="0" autoLine="0" r:id="rId9">
            <anchor moveWithCells="1">
              <from>
                <xdr:col>2</xdr:col>
                <xdr:colOff>85725</xdr:colOff>
                <xdr:row>0</xdr:row>
                <xdr:rowOff>85725</xdr:rowOff>
              </from>
              <to>
                <xdr:col>3</xdr:col>
                <xdr:colOff>447675</xdr:colOff>
                <xdr:row>0</xdr:row>
                <xdr:rowOff>561975</xdr:rowOff>
              </to>
            </anchor>
          </controlPr>
        </control>
      </mc:Choice>
      <mc:Fallback>
        <control shapeId="9220" r:id="rId8"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91"/>
      <c r="B10" s="191"/>
      <c r="C10" s="191"/>
      <c r="D10" s="191"/>
      <c r="E10" s="191"/>
      <c r="F10" s="191"/>
      <c r="G10" s="191"/>
      <c r="H10" s="191"/>
      <c r="I10" s="191"/>
      <c r="J10" s="191"/>
      <c r="K10" s="191"/>
      <c r="L10" s="191"/>
      <c r="M10" s="191"/>
      <c r="N10" s="191"/>
      <c r="O10" s="191"/>
      <c r="P10" s="191"/>
      <c r="Q10" s="191"/>
      <c r="R10" s="191"/>
      <c r="S10" s="191"/>
      <c r="T10" s="191"/>
      <c r="U10" s="191"/>
      <c r="V10" s="191"/>
      <c r="W10" s="191"/>
      <c r="X10" s="191"/>
      <c r="Y10" s="191"/>
      <c r="Z10" s="191"/>
      <c r="AA10" s="191"/>
      <c r="AB10" s="191"/>
      <c r="AC10" s="191"/>
      <c r="AD10" s="191"/>
      <c r="AE10" s="191"/>
      <c r="AF10" s="191"/>
      <c r="AG10" s="191"/>
      <c r="AH10" s="191"/>
      <c r="AI10" s="191"/>
      <c r="AJ10" s="191"/>
      <c r="AK10" s="191"/>
      <c r="AL10" s="191"/>
      <c r="AM10" s="191"/>
      <c r="AN10" s="191"/>
      <c r="AO10" s="191"/>
      <c r="AP10" s="191"/>
      <c r="AQ10" s="191"/>
      <c r="AR10" s="191"/>
      <c r="AS10" s="191"/>
      <c r="AT10" s="191"/>
      <c r="AU10" s="191"/>
      <c r="AV10" s="191"/>
      <c r="AW10" s="191"/>
      <c r="AX10" s="191"/>
      <c r="AY10" s="191"/>
      <c r="AZ10" s="191"/>
      <c r="BA10" s="191"/>
      <c r="BB10" s="191"/>
      <c r="BC10" s="191"/>
      <c r="BD10" s="191"/>
      <c r="BE10" s="191"/>
      <c r="BF10" s="191"/>
      <c r="BG10" s="191"/>
      <c r="BH10" s="191"/>
      <c r="BI10" s="90"/>
    </row>
    <row r="11" spans="1:61" ht="18" x14ac:dyDescent="0.25">
      <c r="A11" s="192"/>
      <c r="B11" s="192"/>
      <c r="C11" s="192"/>
      <c r="D11" s="192"/>
      <c r="E11" s="192"/>
      <c r="F11" s="192"/>
      <c r="G11" s="192"/>
      <c r="H11" s="192"/>
      <c r="I11" s="192"/>
      <c r="J11" s="192"/>
      <c r="K11" s="192"/>
      <c r="L11" s="192"/>
      <c r="M11" s="192"/>
      <c r="N11" s="192"/>
      <c r="O11" s="192"/>
      <c r="P11" s="192"/>
      <c r="Q11" s="192"/>
      <c r="R11" s="192"/>
      <c r="S11" s="192"/>
      <c r="T11" s="192"/>
      <c r="U11" s="192"/>
      <c r="V11" s="192"/>
      <c r="W11" s="192"/>
      <c r="X11" s="192"/>
      <c r="Y11" s="192"/>
      <c r="Z11" s="192"/>
      <c r="AA11" s="192"/>
      <c r="AB11" s="192"/>
      <c r="AC11" s="192"/>
      <c r="AD11" s="192"/>
      <c r="AE11" s="192"/>
      <c r="AF11" s="192"/>
      <c r="AG11" s="192"/>
      <c r="AH11" s="192"/>
      <c r="AI11" s="192"/>
      <c r="AJ11" s="192"/>
      <c r="AK11" s="192"/>
      <c r="AL11" s="192"/>
      <c r="AM11" s="192"/>
      <c r="AN11" s="192"/>
      <c r="AO11" s="192"/>
      <c r="AP11" s="192"/>
      <c r="AQ11" s="192"/>
      <c r="AR11" s="192"/>
      <c r="AS11" s="192"/>
      <c r="AT11" s="192"/>
      <c r="AU11" s="192"/>
      <c r="AV11" s="192"/>
      <c r="AW11" s="192"/>
      <c r="AX11" s="192"/>
      <c r="AY11" s="192"/>
      <c r="AZ11" s="192"/>
      <c r="BA11" s="192"/>
      <c r="BB11" s="192"/>
      <c r="BC11" s="192"/>
      <c r="BD11" s="192"/>
      <c r="BE11" s="192"/>
      <c r="BF11" s="192"/>
      <c r="BG11" s="192"/>
      <c r="BH11" s="192"/>
      <c r="BI11" s="90"/>
    </row>
    <row r="12" spans="1:61" ht="18.75" thickBot="1" x14ac:dyDescent="0.3">
      <c r="A12" s="193"/>
      <c r="B12" s="193"/>
      <c r="C12" s="193"/>
      <c r="D12" s="193"/>
      <c r="E12" s="193"/>
      <c r="F12" s="193"/>
      <c r="G12" s="193"/>
      <c r="H12" s="193"/>
      <c r="I12" s="193"/>
      <c r="J12" s="193"/>
      <c r="K12" s="193"/>
      <c r="L12" s="193"/>
      <c r="M12" s="193"/>
      <c r="N12" s="193"/>
      <c r="O12" s="193"/>
      <c r="P12" s="193"/>
      <c r="Q12" s="193"/>
      <c r="R12" s="193"/>
      <c r="S12" s="193"/>
      <c r="T12" s="193"/>
      <c r="U12" s="193"/>
      <c r="V12" s="193"/>
      <c r="W12" s="193"/>
      <c r="X12" s="193"/>
      <c r="Y12" s="193"/>
      <c r="Z12" s="193"/>
      <c r="AA12" s="193"/>
      <c r="AB12" s="193"/>
      <c r="AC12" s="193"/>
      <c r="AD12" s="193"/>
      <c r="AE12" s="193"/>
      <c r="AF12" s="193"/>
      <c r="AG12" s="193"/>
      <c r="AH12" s="193"/>
      <c r="AI12" s="193"/>
      <c r="AJ12" s="193"/>
      <c r="AK12" s="193"/>
      <c r="AL12" s="193"/>
      <c r="AM12" s="193"/>
      <c r="AN12" s="193"/>
      <c r="AO12" s="193"/>
      <c r="AP12" s="193"/>
      <c r="AQ12" s="193"/>
      <c r="AR12" s="193"/>
      <c r="AS12" s="193"/>
      <c r="AT12" s="193"/>
      <c r="AU12" s="193"/>
      <c r="AV12" s="193"/>
      <c r="AW12" s="193"/>
      <c r="AX12" s="193"/>
      <c r="AY12" s="193"/>
      <c r="AZ12" s="193"/>
      <c r="BA12" s="193"/>
      <c r="BB12" s="193"/>
      <c r="BC12" s="193"/>
      <c r="BD12" s="193"/>
      <c r="BE12" s="193"/>
      <c r="BF12" s="193"/>
      <c r="BG12" s="193"/>
      <c r="BH12" s="193"/>
      <c r="BI12" s="90"/>
    </row>
    <row r="13" spans="1:61" ht="18.75" thickBot="1" x14ac:dyDescent="0.3">
      <c r="A13" s="194" t="s">
        <v>12</v>
      </c>
      <c r="B13" s="195"/>
      <c r="C13" s="195"/>
      <c r="D13" s="195"/>
      <c r="E13" s="195"/>
      <c r="F13" s="195"/>
      <c r="G13" s="195"/>
      <c r="H13" s="195"/>
      <c r="I13" s="195"/>
      <c r="J13" s="195"/>
      <c r="K13" s="195"/>
      <c r="L13" s="195"/>
      <c r="M13" s="195"/>
      <c r="N13" s="195"/>
      <c r="O13" s="195"/>
      <c r="P13" s="195"/>
      <c r="Q13" s="195"/>
      <c r="R13" s="195"/>
      <c r="S13" s="195"/>
      <c r="T13" s="195"/>
      <c r="U13" s="195"/>
      <c r="V13" s="195"/>
      <c r="W13" s="195"/>
      <c r="X13" s="195"/>
      <c r="Y13" s="195"/>
      <c r="Z13" s="195"/>
      <c r="AA13" s="195"/>
      <c r="AB13" s="195"/>
      <c r="AC13" s="195"/>
      <c r="AD13" s="195"/>
      <c r="AE13" s="195"/>
      <c r="AF13" s="195"/>
      <c r="AG13" s="195"/>
      <c r="AH13" s="195"/>
      <c r="AI13" s="195"/>
      <c r="AJ13" s="195"/>
      <c r="AK13" s="195"/>
      <c r="AL13" s="195"/>
      <c r="AM13" s="195"/>
      <c r="AN13" s="195"/>
      <c r="AO13" s="195"/>
      <c r="AP13" s="195"/>
      <c r="AQ13" s="195"/>
      <c r="AR13" s="195"/>
      <c r="AS13" s="195"/>
      <c r="AT13" s="195"/>
      <c r="AU13" s="195"/>
      <c r="AV13" s="195"/>
      <c r="AW13" s="195"/>
      <c r="AX13" s="195"/>
      <c r="AY13" s="195"/>
      <c r="AZ13" s="195"/>
      <c r="BA13" s="195"/>
      <c r="BB13" s="195"/>
      <c r="BC13" s="195"/>
      <c r="BD13" s="195"/>
      <c r="BE13" s="195"/>
      <c r="BF13" s="195"/>
      <c r="BG13" s="195"/>
      <c r="BH13" s="196"/>
      <c r="BI13" s="90"/>
    </row>
    <row r="14" spans="1:61" ht="15.75" thickBot="1" x14ac:dyDescent="0.35">
      <c r="A14" s="103"/>
      <c r="B14" s="104"/>
      <c r="C14" s="104"/>
      <c r="D14" s="104"/>
      <c r="E14" s="197" t="s">
        <v>35</v>
      </c>
      <c r="F14" s="197"/>
      <c r="G14" s="197"/>
      <c r="H14" s="197"/>
      <c r="I14" s="104"/>
      <c r="J14" s="104"/>
      <c r="K14" s="198" t="s">
        <v>24</v>
      </c>
      <c r="L14" s="198"/>
      <c r="M14" s="198"/>
      <c r="N14" s="198"/>
      <c r="O14" s="129"/>
      <c r="P14" s="129"/>
      <c r="Q14" s="197" t="s">
        <v>36</v>
      </c>
      <c r="R14" s="197"/>
      <c r="S14" s="197"/>
      <c r="T14" s="197"/>
      <c r="U14" s="104"/>
      <c r="V14" s="104"/>
      <c r="W14" s="198" t="s">
        <v>25</v>
      </c>
      <c r="X14" s="198"/>
      <c r="Y14" s="198"/>
      <c r="Z14" s="198"/>
      <c r="AA14" s="129"/>
      <c r="AB14" s="129"/>
      <c r="AC14" s="197" t="s">
        <v>37</v>
      </c>
      <c r="AD14" s="197"/>
      <c r="AE14" s="197"/>
      <c r="AF14" s="197"/>
      <c r="AG14" s="104"/>
      <c r="AH14" s="104"/>
      <c r="AI14" s="198" t="s">
        <v>26</v>
      </c>
      <c r="AJ14" s="198"/>
      <c r="AK14" s="198"/>
      <c r="AL14" s="198"/>
      <c r="AM14" s="129"/>
      <c r="AN14" s="129"/>
      <c r="AO14" s="197" t="s">
        <v>38</v>
      </c>
      <c r="AP14" s="197"/>
      <c r="AQ14" s="197"/>
      <c r="AR14" s="197"/>
      <c r="AS14" s="104"/>
      <c r="AT14" s="104"/>
      <c r="AU14" s="198" t="s">
        <v>27</v>
      </c>
      <c r="AV14" s="198"/>
      <c r="AW14" s="198"/>
      <c r="AX14" s="198"/>
      <c r="AY14" s="129"/>
      <c r="AZ14" s="129"/>
      <c r="BA14" s="197" t="s">
        <v>39</v>
      </c>
      <c r="BB14" s="197"/>
      <c r="BC14" s="197"/>
      <c r="BD14" s="197"/>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12</v>
      </c>
      <c r="B1" s="163">
        <v>1</v>
      </c>
      <c r="C1" s="163"/>
      <c r="D1" s="82" t="s">
        <v>15</v>
      </c>
      <c r="E1" s="94"/>
      <c r="F1" s="126"/>
      <c r="G1" s="46"/>
    </row>
    <row r="2" spans="1:7" s="47" customFormat="1" ht="30" customHeight="1" thickBot="1" x14ac:dyDescent="0.3">
      <c r="A2" s="80" t="s">
        <v>5</v>
      </c>
      <c r="B2" s="150" t="s">
        <v>41</v>
      </c>
      <c r="C2" s="151"/>
      <c r="D2" s="80" t="s">
        <v>13</v>
      </c>
      <c r="E2" s="224" t="s">
        <v>14</v>
      </c>
      <c r="F2" s="225"/>
      <c r="G2" s="46"/>
    </row>
    <row r="3" spans="1:7" s="52" customFormat="1" x14ac:dyDescent="0.3">
      <c r="A3" s="48"/>
      <c r="B3" s="49"/>
      <c r="C3" s="152" t="str">
        <f xml:space="preserve"> IF(B3="","",setValueToTime(B3))</f>
        <v/>
      </c>
      <c r="D3" s="50"/>
      <c r="E3" s="226"/>
      <c r="F3" s="227"/>
      <c r="G3" s="51"/>
    </row>
    <row r="4" spans="1:7" s="52" customFormat="1" x14ac:dyDescent="0.3">
      <c r="A4" s="53"/>
      <c r="B4" s="54"/>
      <c r="C4" s="153" t="str">
        <f t="shared" ref="C4:C10" si="0" xml:space="preserve"> IF(B4="","",setValueToTime(B4))</f>
        <v/>
      </c>
      <c r="D4" s="55"/>
      <c r="E4" s="228"/>
      <c r="F4" s="229"/>
      <c r="G4" s="51"/>
    </row>
    <row r="5" spans="1:7" s="52" customFormat="1" x14ac:dyDescent="0.3">
      <c r="A5" s="53"/>
      <c r="B5" s="54"/>
      <c r="C5" s="153" t="str">
        <f t="shared" si="0"/>
        <v/>
      </c>
      <c r="D5" s="55"/>
      <c r="E5" s="228"/>
      <c r="F5" s="229"/>
      <c r="G5" s="51"/>
    </row>
    <row r="6" spans="1:7" s="52" customFormat="1" x14ac:dyDescent="0.3">
      <c r="A6" s="53"/>
      <c r="B6" s="54"/>
      <c r="C6" s="153" t="str">
        <f t="shared" si="0"/>
        <v/>
      </c>
      <c r="D6" s="55"/>
      <c r="E6" s="228"/>
      <c r="F6" s="229"/>
      <c r="G6" s="51"/>
    </row>
    <row r="7" spans="1:7" s="52" customFormat="1" x14ac:dyDescent="0.3">
      <c r="A7" s="54"/>
      <c r="B7" s="54"/>
      <c r="C7" s="154" t="str">
        <f t="shared" si="0"/>
        <v/>
      </c>
      <c r="D7" s="55"/>
      <c r="E7" s="228"/>
      <c r="F7" s="229"/>
      <c r="G7" s="51"/>
    </row>
    <row r="8" spans="1:7" s="52" customFormat="1" x14ac:dyDescent="0.3">
      <c r="A8" s="54"/>
      <c r="B8" s="54"/>
      <c r="C8" s="154" t="str">
        <f t="shared" si="0"/>
        <v/>
      </c>
      <c r="D8" s="55"/>
      <c r="E8" s="228"/>
      <c r="F8" s="229"/>
      <c r="G8" s="51"/>
    </row>
    <row r="9" spans="1:7" s="52" customFormat="1" x14ac:dyDescent="0.3">
      <c r="A9" s="54"/>
      <c r="B9" s="54"/>
      <c r="C9" s="154" t="str">
        <f t="shared" si="0"/>
        <v/>
      </c>
      <c r="D9" s="55"/>
      <c r="E9" s="228"/>
      <c r="F9" s="229"/>
      <c r="G9" s="51"/>
    </row>
    <row r="10" spans="1:7" s="52" customFormat="1" ht="15" thickBot="1" x14ac:dyDescent="0.35">
      <c r="A10" s="56"/>
      <c r="B10" s="56"/>
      <c r="C10" s="155" t="str">
        <f t="shared" si="0"/>
        <v/>
      </c>
      <c r="D10" s="57"/>
      <c r="E10" s="232"/>
      <c r="F10" s="233"/>
      <c r="G10" s="51"/>
    </row>
    <row r="11" spans="1:7" s="52" customFormat="1" ht="15" thickBot="1" x14ac:dyDescent="0.35">
      <c r="A11" s="111" t="s">
        <v>29</v>
      </c>
      <c r="B11" s="84">
        <f>SUM(B3:B10)</f>
        <v>0</v>
      </c>
      <c r="C11" s="111" t="str">
        <f xml:space="preserve"> setValueToTime(B11)</f>
        <v>0h</v>
      </c>
      <c r="D11" s="120"/>
      <c r="E11" s="230"/>
      <c r="F11" s="231"/>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12</v>
      </c>
      <c r="B1" s="164">
        <v>1</v>
      </c>
      <c r="C1" s="164"/>
      <c r="D1" s="157" t="s">
        <v>15</v>
      </c>
      <c r="E1" s="158"/>
      <c r="F1" s="159"/>
      <c r="G1" s="46"/>
    </row>
    <row r="2" spans="1:7" s="47" customFormat="1" ht="30" customHeight="1" thickBot="1" x14ac:dyDescent="0.3">
      <c r="A2" s="78" t="s">
        <v>5</v>
      </c>
      <c r="B2" s="161" t="s">
        <v>41</v>
      </c>
      <c r="C2" s="160"/>
      <c r="D2" s="78" t="s">
        <v>13</v>
      </c>
      <c r="E2" s="234" t="s">
        <v>14</v>
      </c>
      <c r="F2" s="235"/>
      <c r="G2" s="46"/>
    </row>
    <row r="3" spans="1:7" s="52" customFormat="1" x14ac:dyDescent="0.3">
      <c r="A3" s="48"/>
      <c r="B3" s="49"/>
      <c r="C3" s="152" t="str">
        <f xml:space="preserve"> IF(B3="","",setValueToTime(B3))</f>
        <v/>
      </c>
      <c r="D3" s="50"/>
      <c r="E3" s="226"/>
      <c r="F3" s="227"/>
      <c r="G3" s="51"/>
    </row>
    <row r="4" spans="1:7" s="52" customFormat="1" x14ac:dyDescent="0.3">
      <c r="A4" s="53"/>
      <c r="B4" s="54"/>
      <c r="C4" s="153" t="str">
        <f t="shared" ref="C4:C10" si="0" xml:space="preserve"> IF(B4="","",setValueToTime(B4))</f>
        <v/>
      </c>
      <c r="D4" s="55"/>
      <c r="E4" s="228"/>
      <c r="F4" s="229"/>
      <c r="G4" s="51"/>
    </row>
    <row r="5" spans="1:7" s="52" customFormat="1" x14ac:dyDescent="0.3">
      <c r="A5" s="53"/>
      <c r="B5" s="54"/>
      <c r="C5" s="153" t="str">
        <f t="shared" si="0"/>
        <v/>
      </c>
      <c r="D5" s="55"/>
      <c r="E5" s="228"/>
      <c r="F5" s="229"/>
      <c r="G5" s="51"/>
    </row>
    <row r="6" spans="1:7" s="52" customFormat="1" x14ac:dyDescent="0.3">
      <c r="A6" s="53"/>
      <c r="B6" s="54"/>
      <c r="C6" s="153" t="str">
        <f t="shared" si="0"/>
        <v/>
      </c>
      <c r="D6" s="55"/>
      <c r="E6" s="228"/>
      <c r="F6" s="229"/>
      <c r="G6" s="51"/>
    </row>
    <row r="7" spans="1:7" s="52" customFormat="1" x14ac:dyDescent="0.3">
      <c r="A7" s="54"/>
      <c r="B7" s="54"/>
      <c r="C7" s="154" t="str">
        <f t="shared" si="0"/>
        <v/>
      </c>
      <c r="D7" s="55"/>
      <c r="E7" s="228"/>
      <c r="F7" s="229"/>
      <c r="G7" s="51"/>
    </row>
    <row r="8" spans="1:7" s="52" customFormat="1" x14ac:dyDescent="0.3">
      <c r="A8" s="54"/>
      <c r="B8" s="54"/>
      <c r="C8" s="154" t="str">
        <f t="shared" si="0"/>
        <v/>
      </c>
      <c r="D8" s="55"/>
      <c r="E8" s="228"/>
      <c r="F8" s="229"/>
      <c r="G8" s="51"/>
    </row>
    <row r="9" spans="1:7" s="52" customFormat="1" x14ac:dyDescent="0.3">
      <c r="A9" s="54"/>
      <c r="B9" s="54"/>
      <c r="C9" s="154" t="str">
        <f t="shared" si="0"/>
        <v/>
      </c>
      <c r="D9" s="55"/>
      <c r="E9" s="228"/>
      <c r="F9" s="229"/>
      <c r="G9" s="51"/>
    </row>
    <row r="10" spans="1:7" s="52" customFormat="1" ht="15" thickBot="1" x14ac:dyDescent="0.35">
      <c r="A10" s="56"/>
      <c r="B10" s="56"/>
      <c r="C10" s="155" t="str">
        <f t="shared" si="0"/>
        <v/>
      </c>
      <c r="D10" s="57"/>
      <c r="E10" s="232"/>
      <c r="F10" s="233"/>
      <c r="G10" s="51"/>
    </row>
    <row r="11" spans="1:7" s="52" customFormat="1" ht="15" thickBot="1" x14ac:dyDescent="0.35">
      <c r="A11" s="162" t="s">
        <v>29</v>
      </c>
      <c r="B11" s="83">
        <f>SUM(B3:B10)</f>
        <v>0</v>
      </c>
      <c r="C11" s="162" t="str">
        <f xml:space="preserve"> setValueToTime(B11)</f>
        <v>0h</v>
      </c>
      <c r="D11" s="121"/>
      <c r="E11" s="236"/>
      <c r="F11" s="237"/>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C241BCC23B10947BCB8B0981771BECC" ma:contentTypeVersion="10" ma:contentTypeDescription="Crée un document." ma:contentTypeScope="" ma:versionID="5e8cff93864708703864a759c0b22e9f">
  <xsd:schema xmlns:xsd="http://www.w3.org/2001/XMLSchema" xmlns:xs="http://www.w3.org/2001/XMLSchema" xmlns:p="http://schemas.microsoft.com/office/2006/metadata/properties" xmlns:ns3="67738394-1d8a-43c4-9891-d7e1fdf7c6ea" xmlns:ns4="15a2adb2-9a92-45bc-9379-5d8dde16dc3c" targetNamespace="http://schemas.microsoft.com/office/2006/metadata/properties" ma:root="true" ma:fieldsID="4b01dd2feb3b49d592282a698408deb9" ns3:_="" ns4:_="">
    <xsd:import namespace="67738394-1d8a-43c4-9891-d7e1fdf7c6ea"/>
    <xsd:import namespace="15a2adb2-9a92-45bc-9379-5d8dde16dc3c"/>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7738394-1d8a-43c4-9891-d7e1fdf7c6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a2adb2-9a92-45bc-9379-5d8dde16dc3c" elementFormDefault="qualified">
    <xsd:import namespace="http://schemas.microsoft.com/office/2006/documentManagement/types"/>
    <xsd:import namespace="http://schemas.microsoft.com/office/infopath/2007/PartnerControls"/>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element name="SharingHintHash" ma:index="17" nillable="true" ma:displayName="Partage du hachage d’indicateu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432B5AE-196B-4506-8582-1FAF725894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7738394-1d8a-43c4-9891-d7e1fdf7c6ea"/>
    <ds:schemaRef ds:uri="15a2adb2-9a92-45bc-9379-5d8dde16dc3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127870E-718D-4240-865C-1E70B8950642}">
  <ds:schemaRefs>
    <ds:schemaRef ds:uri="15a2adb2-9a92-45bc-9379-5d8dde16dc3c"/>
    <ds:schemaRef ds:uri="http://schemas.microsoft.com/office/infopath/2007/PartnerControls"/>
    <ds:schemaRef ds:uri="http://purl.org/dc/elements/1.1/"/>
    <ds:schemaRef ds:uri="http://schemas.microsoft.com/office/2006/metadata/properties"/>
    <ds:schemaRef ds:uri="67738394-1d8a-43c4-9891-d7e1fdf7c6ea"/>
    <ds:schemaRef ds:uri="http://purl.org/dc/terms/"/>
    <ds:schemaRef ds:uri="http://schemas.microsoft.com/office/2006/documentManagement/type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1DBD8CED-DFE4-40AF-9805-FAAC5FE45BE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Leonardo Luna</dc:creator>
  <cp:lastModifiedBy>Leonardo Luna</cp:lastModifiedBy>
  <cp:lastPrinted>2019-05-08T10:31:53Z</cp:lastPrinted>
  <dcterms:created xsi:type="dcterms:W3CDTF">1996-10-21T11:03:58Z</dcterms:created>
  <dcterms:modified xsi:type="dcterms:W3CDTF">2021-05-06T10:11:47Z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0x010100BC241BCC23B10947BCB8B0981771BECC</vt:lpwstr>
  </property>
</Properties>
</file>