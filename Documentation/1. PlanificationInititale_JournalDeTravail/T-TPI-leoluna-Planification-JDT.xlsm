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79" i="12" l="1"/>
  <c r="C87" i="12"/>
  <c r="C123" i="12" l="1"/>
  <c r="C206"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B81" i="12"/>
  <c r="C80" i="12"/>
  <c r="B88" i="12"/>
  <c r="B96" i="12"/>
  <c r="C95" i="12"/>
  <c r="B104" i="12"/>
  <c r="C103" i="12"/>
  <c r="B116" i="12"/>
  <c r="C115" i="12"/>
  <c r="C114" i="12"/>
  <c r="C113" i="12"/>
  <c r="B124" i="12"/>
  <c r="B131" i="12"/>
  <c r="B139" i="12"/>
  <c r="C138" i="12"/>
  <c r="B151" i="12"/>
  <c r="C150" i="12"/>
  <c r="C149" i="12"/>
  <c r="C148" i="12"/>
  <c r="C147" i="12"/>
  <c r="C146" i="12"/>
  <c r="B160" i="12"/>
  <c r="C159" i="12"/>
  <c r="B169" i="12"/>
  <c r="B181" i="12"/>
  <c r="C180" i="12"/>
  <c r="C179" i="12"/>
  <c r="B188" i="12"/>
  <c r="C187" i="12"/>
  <c r="B200" i="12"/>
  <c r="C199" i="12"/>
  <c r="C198" i="12"/>
  <c r="C197" i="12"/>
  <c r="C196" i="12"/>
  <c r="C195" i="12"/>
  <c r="B207" i="12"/>
  <c r="B214" i="12"/>
  <c r="C213" i="12"/>
  <c r="B225" i="12"/>
  <c r="C223" i="12"/>
  <c r="C222" i="12"/>
  <c r="C221" i="12"/>
  <c r="C220" i="12"/>
  <c r="B233" i="12"/>
  <c r="C232" i="12"/>
  <c r="C230" i="12"/>
  <c r="B245" i="12"/>
  <c r="C241" i="12"/>
  <c r="B255"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54"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94" i="12"/>
  <c r="C135" i="12"/>
  <c r="C120" i="12"/>
  <c r="C173" i="12"/>
  <c r="C36" i="12"/>
  <c r="C24" i="12"/>
  <c r="C250" i="12"/>
  <c r="C255" i="12"/>
  <c r="C160" i="12"/>
  <c r="C168" i="12"/>
  <c r="C169" i="12"/>
  <c r="C104" i="12"/>
  <c r="C85" i="12"/>
  <c r="C219" i="12"/>
  <c r="C60" i="12"/>
  <c r="C242" i="12"/>
  <c r="C175" i="12"/>
  <c r="C130" i="12"/>
  <c r="C144" i="12"/>
  <c r="C224" i="12"/>
  <c r="C204" i="12"/>
  <c r="C194" i="12"/>
  <c r="C218" i="12"/>
  <c r="C238" i="12"/>
  <c r="C165" i="12"/>
  <c r="C245" i="12"/>
  <c r="C151" i="12"/>
  <c r="C225" i="12"/>
  <c r="C176" i="12"/>
  <c r="C233" i="12"/>
  <c r="C207" i="12"/>
  <c r="C167" i="12"/>
  <c r="C137" i="12"/>
  <c r="C237" i="12"/>
  <c r="C111" i="12"/>
  <c r="C177" i="12"/>
  <c r="C186" i="12"/>
  <c r="C188" i="12"/>
  <c r="C229" i="12"/>
  <c r="C158" i="12"/>
  <c r="C108" i="12"/>
  <c r="C93" i="12"/>
  <c r="C205" i="12"/>
  <c r="C122" i="12"/>
  <c r="C156" i="12"/>
  <c r="C253" i="12"/>
  <c r="C243" i="12"/>
  <c r="C143" i="12"/>
  <c r="C240" i="12"/>
  <c r="C139" i="12"/>
  <c r="C157" i="12"/>
  <c r="C129" i="12"/>
  <c r="C48" i="12"/>
  <c r="C214" i="12"/>
  <c r="C92" i="12"/>
  <c r="C251" i="12"/>
  <c r="C96" i="12"/>
  <c r="C102" i="12"/>
  <c r="C181" i="12"/>
  <c r="C200" i="12"/>
  <c r="C101" i="12"/>
  <c r="C109" i="12"/>
  <c r="C112" i="12"/>
  <c r="C128" i="12"/>
  <c r="C174" i="12"/>
  <c r="C131" i="12"/>
  <c r="C249" i="12"/>
  <c r="C244" i="12"/>
  <c r="C12" i="12"/>
  <c r="C164" i="12"/>
  <c r="C155" i="12"/>
  <c r="C193" i="12"/>
  <c r="C192" i="12"/>
  <c r="C136" i="12"/>
  <c r="C100" i="12"/>
  <c r="C212" i="12"/>
  <c r="C239" i="12"/>
  <c r="C145" i="12"/>
  <c r="C124" i="12"/>
  <c r="C166" i="12"/>
  <c r="C185" i="12"/>
  <c r="C178" i="12"/>
  <c r="C231" i="12"/>
  <c r="C110" i="12"/>
  <c r="C121" i="12"/>
  <c r="C252" i="12"/>
  <c r="C116" i="12"/>
  <c r="C211" i="12"/>
  <c r="C78" i="12"/>
  <c r="C77" i="12"/>
  <c r="C76" i="12"/>
  <c r="C81" i="12"/>
  <c r="C88" i="12"/>
  <c r="C86" i="12"/>
  <c r="C64" i="12"/>
  <c r="C72"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<sst xmlns="http://schemas.openxmlformats.org/spreadsheetml/2006/main" count="1179" uniqueCount="206">
  <si>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</si>
  <si>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</si>
  <si>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</si>
  <si>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</si>
  <si>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</si>
  <si>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</si>
  <si>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</si>
  <si>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</si>
  <si>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</si>
  <si>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</si>
  <si>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</si>
  <si>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</si>
  <si>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</si>
  <si>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</si>
  <si>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</si>
  <si>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</si>
  <si>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</si>
  <si>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</si>
  <si>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</si>
  <si>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</si>
  <si>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</si>
  <si>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</si>
  <si>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</si>
  <si>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</si>
  <si>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</si>
  <si>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</si>
  <si>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</si>
  <si>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</si>
  <si>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</si>
  <si>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</si>
  <si>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</si>
  <si>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</si>
  <si>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</si>
  <si>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</si>
  <si>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</si>
  <si>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</si>
  <si>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</si>
  <si>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</si>
  <si>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</si>
  <si>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</si>
  <si>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</si>
  <si>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</si>
  <si>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</si>
  <si>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</si>
  <si>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</si>
  <si>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</si>
  <si>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</si>
  <si>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</si>
  <si>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</si>
  <si>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</si>
  <si>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</si>
  <si>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</si>
  <si>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</si>
  <si>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</si>
  <si>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</si>
  <si>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</si>
  <si>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</si>
  <si>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</si>
  <si>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</si>
  <si>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</si>
  <si>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</si>
  <si>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</si>
  <si>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</si>
  <si>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</si>
  <si>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</si>
  <si>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</si>
  <si>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</si>
  <si>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</si>
  <si>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</si>
  <si>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</si>
  <si>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</si>
  <si>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</si>
  <si>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</si>
  <si>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</si>
  <si>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</si>
  <si>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</si>
  <si>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</si>
  <si>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</si>
  <si>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</si>
  <si>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</si>
  <si>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</si>
  <si>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</si>
  <si>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</si>
  <si>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</si>
  <si>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</si>
  <si>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</si>
  <si>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</si>
  <si>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</si>
  <si>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</si>
  <si>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</si>
  <si>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</si>
  <si>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</si>
  <si>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</si>
  <si>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</si>
  <si>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</si>
  <si>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</si>
  <si>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</si>
  <si>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</si>
  <si>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</si>
  <si>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</si>
  <si>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</si>
  <si>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</si>
  <si>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</si>
  <si>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</si>
  <si>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</si>
  <si>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</si>
  <si>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</si>
  <si>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</si>
  <si>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</si>
  <si>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</si>
  <si>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</si>
  <si>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</si>
  <si>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</si>
  <si>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</si>
  <si>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</si>
  <si>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</si>
  <si>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</si>
  <si>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</si>
  <si>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</si>
  <si>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</si>
  <si>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</si>
  <si>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</si>
  <si>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</si>
  <si>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</si>
  <si>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</si>
  <si>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</si>
  <si>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</si>
  <si>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</si>
  <si>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</si>
  <si>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</si>
  <si>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</si>
  <si>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</si>
  <si>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</si>
  <si>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</si>
  <si>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</si>
  <si>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</si>
  <si>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</si>
  <si>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</si>
  <si>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</si>
  <si>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</si>
  <si>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</si>
  <si>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</si>
  <si>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</si>
  <si>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</si>
  <si>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</si>
  <si>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</si>
  <si>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</si>
  <si>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</si>
  <si>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</si>
  <si>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</si>
  <si>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</si>
  <si>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</si>
  <si>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</si>
  <si>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</si>
  <si>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</si>
  <si>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</si>
  <si>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</si>
  <si>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</si>
  <si>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</si>
  <si>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</si>
  <si>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</si>
  <si>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</si>
  <si>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</si>
  <si>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</si>
  <si>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</si>
  <si>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</si>
  <si>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</si>
  <si>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</si>
  <si>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</si>
  <si>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</si>
  <si>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</si>
  <si>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</si>
  <si>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</si>
  <si>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</si>
  <si>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</si>
  <si>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</si>
  <si>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</si>
  <si>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</si>
  <si>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</si>
  <si>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</si>
  <si>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</si>
  <si>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</si>
  <si>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</si>
  <si>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</si>
  <si>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</si>
  <si>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</si>
  <si>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</si>
  <si>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</si>
  <si>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</si>
  <si>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</si>
  <si>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</si>
  <si>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</si>
  <si>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</si>
  <si>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</si>
  <si>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</si>
  <si>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64h</t>
  </si>
  <si>
    <t>- 25h50min</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</si>
  <si>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</si>
  <si>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</si>
  <si>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</si>
  <si>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</si>
  <si>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</si>
  <si>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</si>
  <si>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</si>
  <si>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t>
  </si>
  <si>
    <t>Le rapport contient désormais une explication sur le fonctionnement des fichiers 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</si>
</sst>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1"/>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strLit>
          </c:cat>
          <c:val>
            <c:numLit>
              <c:formatCode>General</c:formatCode>
              <c:ptCount val="21"/>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7.9999998211860657E-2</c:v>
              </c:pt>
              <c:pt idx="1">
                <c:v>1.1699999570846558</c:v>
              </c:pt>
              <c:pt idx="2">
                <c:v>1.4199999570846558</c:v>
              </c:pt>
              <c:pt idx="3">
                <c:v>3.5799999237060547</c:v>
              </c:pt>
              <c:pt idx="4">
                <c:v>26.170000076293945</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3.3299999237060547</c:v>
              </c:pt>
              <c:pt idx="15">
                <c:v>0</c:v>
              </c:pt>
              <c:pt idx="16">
                <c:v>0</c:v>
              </c:pt>
              <c:pt idx="17">
                <c:v>3</c:v>
              </c:pt>
              <c:pt idx="18">
                <c:v>3.9200000762939453</c:v>
              </c:pt>
              <c:pt idx="19">
                <c:v>1.4199999570846558</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3" Type="http://schemas.openxmlformats.org/officeDocument/2006/relationships/hyperlink" Target="..\3.%20Images\3.ApplicationAvecDixSourcesMax.PNG" TargetMode="External"/><Relationship Id="rId21" Type="http://schemas.openxmlformats.org/officeDocument/2006/relationships/vmlDrawing" Target="../drawings/vmlDrawing3.v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image" Target="../media/image6.emf"/><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drawing" Target="../drawings/drawing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control" Target="../activeX/activeX5.xml"/><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image" Target="../media/image5.emf"/><Relationship Id="rId10" Type="http://schemas.openxmlformats.org/officeDocument/2006/relationships/hyperlink" Target="..\3.%20Images\11.SimplificationExtreme.PNG" TargetMode="External"/><Relationship Id="rId19" Type="http://schemas.openxmlformats.org/officeDocument/2006/relationships/printerSettings" Target="../printerSettings/printerSettings4.bin"/><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6" t="s">
        <v>33</v>
      </c>
      <c r="C35" s="206"/>
      <c r="D35" s="206"/>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7" t="s">
        <v>34</v>
      </c>
      <c r="C37" s="207"/>
      <c r="D37" s="207"/>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4" zoomScale="70" zoomScaleNormal="70" zoomScaleSheetLayoutView="43" workbookViewId="0">
      <selection activeCell="C49" sqref="C49:C50"/>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9" t="s">
        <v>31</v>
      </c>
      <c r="D1" s="239"/>
      <c r="E1" s="23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40"/>
      <c r="D7" s="240"/>
      <c r="E7" s="24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3" t="str">
        <f>E96</f>
        <v>89h50min</v>
      </c>
      <c r="H9" s="233"/>
      <c r="I9" s="233"/>
      <c r="J9" s="233"/>
      <c r="K9" s="233"/>
      <c r="L9" s="233"/>
      <c r="M9" s="233"/>
      <c r="N9" s="233"/>
      <c r="O9" s="233"/>
      <c r="P9" s="233"/>
      <c r="Q9" s="233"/>
      <c r="R9" s="233"/>
      <c r="S9" s="233"/>
      <c r="T9" s="233"/>
      <c r="U9" s="233"/>
      <c r="V9" s="119"/>
      <c r="W9" s="232" t="s">
        <v>23</v>
      </c>
      <c r="X9" s="232"/>
      <c r="Y9" s="232"/>
      <c r="Z9" s="232"/>
      <c r="AA9" s="232"/>
      <c r="AB9" s="232"/>
      <c r="AC9" s="232"/>
      <c r="AD9" s="232"/>
      <c r="AE9" s="232"/>
      <c r="AF9" s="232"/>
      <c r="AG9" s="232"/>
      <c r="AH9" s="233" t="str">
        <f>E98</f>
        <v>64h</v>
      </c>
      <c r="AI9" s="233"/>
      <c r="AJ9" s="233"/>
      <c r="AK9" s="233"/>
      <c r="AL9" s="233"/>
      <c r="AM9" s="233"/>
      <c r="AN9" s="233"/>
      <c r="AO9" s="233"/>
      <c r="AP9" s="233"/>
      <c r="AQ9" s="233"/>
      <c r="AR9" s="233"/>
      <c r="AS9" s="233"/>
      <c r="AT9" s="233"/>
      <c r="AU9" s="233"/>
      <c r="AV9" s="233"/>
      <c r="AW9" s="23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4"/>
      <c r="BO10" s="234"/>
      <c r="BP10" s="234"/>
      <c r="BQ10" s="234"/>
      <c r="BR10" s="234"/>
      <c r="BS10" s="234"/>
      <c r="BT10" s="234"/>
      <c r="BU10" s="234"/>
      <c r="BV10" s="234"/>
      <c r="BW10" s="234"/>
      <c r="BX10" s="234"/>
      <c r="BY10" s="234"/>
      <c r="BZ10" s="234"/>
      <c r="CA10" s="234"/>
      <c r="CB10" s="234"/>
      <c r="CC10" s="234"/>
      <c r="CD10" s="234"/>
      <c r="CE10" s="234"/>
      <c r="CF10" s="234"/>
      <c r="CG10" s="234"/>
      <c r="CH10" s="234"/>
      <c r="CI10" s="234"/>
      <c r="CJ10" s="234"/>
      <c r="CK10" s="234"/>
      <c r="CL10" s="234"/>
      <c r="CM10" s="234"/>
      <c r="CN10" s="234"/>
      <c r="CO10" s="234"/>
      <c r="CP10" s="234"/>
      <c r="CQ10" s="92"/>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90"/>
    </row>
    <row r="11" spans="1:1866" ht="20.100000000000001" customHeight="1" x14ac:dyDescent="0.25">
      <c r="B11" s="96"/>
      <c r="C11" s="237"/>
      <c r="D11" s="237"/>
      <c r="E11" s="237"/>
      <c r="F11" s="231" t="s">
        <v>42</v>
      </c>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t="s">
        <v>74</v>
      </c>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09" t="s">
        <v>74</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t="s">
        <v>73</v>
      </c>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t="s">
        <v>73</v>
      </c>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209" t="s">
        <v>86</v>
      </c>
      <c r="KU11" s="209"/>
      <c r="KV11" s="209"/>
      <c r="KW11" s="209"/>
      <c r="KX11" s="209"/>
      <c r="KY11" s="209"/>
      <c r="KZ11" s="209"/>
      <c r="LA11" s="209"/>
      <c r="LB11" s="209"/>
      <c r="LC11" s="209"/>
      <c r="LD11" s="209"/>
      <c r="LE11" s="209"/>
      <c r="LF11" s="209"/>
      <c r="LG11" s="209"/>
      <c r="LH11" s="209"/>
      <c r="LI11" s="209"/>
      <c r="LJ11" s="209"/>
      <c r="LK11" s="209"/>
      <c r="LL11" s="209"/>
      <c r="LM11" s="209"/>
      <c r="LN11" s="209"/>
      <c r="LO11" s="209"/>
      <c r="LP11" s="209"/>
      <c r="LQ11" s="209"/>
      <c r="LR11" s="209"/>
      <c r="LS11" s="209"/>
      <c r="LT11" s="209"/>
      <c r="LU11" s="209"/>
      <c r="LV11" s="209"/>
      <c r="LW11" s="209"/>
      <c r="LX11" s="209"/>
      <c r="LY11" s="209"/>
      <c r="LZ11" s="209"/>
      <c r="MA11" s="209"/>
      <c r="MB11" s="209"/>
      <c r="MC11" s="209"/>
      <c r="MD11" s="209"/>
      <c r="ME11" s="209"/>
      <c r="MF11" s="209"/>
      <c r="MG11" s="209"/>
      <c r="MH11" s="209"/>
      <c r="MI11" s="209"/>
      <c r="MJ11" s="209"/>
      <c r="MK11" s="209"/>
      <c r="ML11" s="209"/>
      <c r="MM11" s="209"/>
      <c r="MN11" s="209"/>
      <c r="MO11" s="209"/>
      <c r="MP11" s="209"/>
      <c r="MQ11" s="209"/>
      <c r="MR11" s="209"/>
      <c r="MS11" s="209"/>
      <c r="MT11" s="209"/>
      <c r="MU11" s="209"/>
      <c r="MV11" s="209"/>
      <c r="MW11" s="209"/>
      <c r="MX11" s="209"/>
      <c r="MY11" s="209"/>
      <c r="MZ11" s="209"/>
      <c r="NA11" s="209"/>
      <c r="NB11" s="209" t="s">
        <v>85</v>
      </c>
      <c r="NC11" s="209"/>
      <c r="ND11" s="209"/>
      <c r="NE11" s="209"/>
      <c r="NF11" s="209"/>
      <c r="NG11" s="209"/>
      <c r="NH11" s="209"/>
      <c r="NI11" s="209"/>
      <c r="NJ11" s="209"/>
      <c r="NK11" s="209"/>
      <c r="NL11" s="209"/>
      <c r="NM11" s="209"/>
      <c r="NN11" s="209"/>
      <c r="NO11" s="209"/>
      <c r="NP11" s="209"/>
      <c r="NQ11" s="209"/>
      <c r="NR11" s="209"/>
      <c r="NS11" s="209"/>
      <c r="NT11" s="209"/>
      <c r="NU11" s="209"/>
      <c r="NV11" s="209"/>
      <c r="NW11" s="209"/>
      <c r="NX11" s="209"/>
      <c r="NY11" s="209"/>
      <c r="NZ11" s="209"/>
      <c r="OA11" s="209"/>
      <c r="OB11" s="209"/>
      <c r="OC11" s="209"/>
      <c r="OD11" s="209"/>
      <c r="OE11" s="209"/>
      <c r="OF11" s="209"/>
      <c r="OG11" s="209"/>
      <c r="OH11" s="209"/>
      <c r="OI11" s="209"/>
      <c r="OJ11" s="209"/>
      <c r="OK11" s="209"/>
      <c r="OL11" s="209"/>
      <c r="OM11" s="209"/>
      <c r="ON11" s="209"/>
      <c r="OO11" s="209"/>
      <c r="OP11" s="209"/>
      <c r="OQ11" s="209"/>
      <c r="OR11" s="209"/>
      <c r="OS11" s="209"/>
      <c r="OT11" s="209"/>
      <c r="OU11" s="209"/>
      <c r="OV11" s="209"/>
      <c r="OW11" s="209"/>
      <c r="OX11" s="209"/>
      <c r="OY11" s="209"/>
      <c r="OZ11" s="209"/>
      <c r="PA11" s="209"/>
      <c r="PB11" s="209"/>
      <c r="PC11" s="209"/>
      <c r="PD11" s="209"/>
      <c r="PE11" s="209"/>
      <c r="PF11" s="209"/>
      <c r="PG11" s="209"/>
      <c r="PH11" s="209"/>
      <c r="PI11" s="209"/>
      <c r="PJ11" s="209" t="s">
        <v>85</v>
      </c>
      <c r="PK11" s="209"/>
      <c r="PL11" s="209"/>
      <c r="PM11" s="209"/>
      <c r="PN11" s="209"/>
      <c r="PO11" s="209"/>
      <c r="PP11" s="209"/>
      <c r="PQ11" s="209"/>
      <c r="PR11" s="209"/>
      <c r="PS11" s="209"/>
      <c r="PT11" s="209"/>
      <c r="PU11" s="209"/>
      <c r="PV11" s="209"/>
      <c r="PW11" s="209"/>
      <c r="PX11" s="209"/>
      <c r="PY11" s="209"/>
      <c r="PZ11" s="209"/>
      <c r="QA11" s="209"/>
      <c r="QB11" s="209"/>
      <c r="QC11" s="209"/>
      <c r="QD11" s="209"/>
      <c r="QE11" s="209"/>
      <c r="QF11" s="209"/>
      <c r="QG11" s="209"/>
      <c r="QH11" s="209"/>
      <c r="QI11" s="209"/>
      <c r="QJ11" s="209"/>
      <c r="QK11" s="209"/>
      <c r="QL11" s="209"/>
      <c r="QM11" s="209"/>
      <c r="QN11" s="209"/>
      <c r="QO11" s="209"/>
      <c r="QP11" s="209"/>
      <c r="QQ11" s="209"/>
      <c r="QR11" s="209"/>
      <c r="QS11" s="209"/>
      <c r="QT11" s="209"/>
      <c r="QU11" s="209"/>
      <c r="QV11" s="209"/>
      <c r="QW11" s="209"/>
      <c r="QX11" s="209"/>
      <c r="QY11" s="209"/>
      <c r="QZ11" s="209"/>
      <c r="RA11" s="209"/>
      <c r="RB11" s="209"/>
      <c r="RC11" s="209"/>
      <c r="RD11" s="209"/>
      <c r="RE11" s="209"/>
      <c r="RF11" s="209"/>
      <c r="RG11" s="209"/>
      <c r="RH11" s="209"/>
      <c r="RI11" s="209"/>
      <c r="RJ11" s="209"/>
      <c r="RK11" s="209"/>
      <c r="RL11" s="209"/>
      <c r="RM11" s="209"/>
      <c r="RN11" s="209"/>
      <c r="RO11" s="209"/>
      <c r="RP11" s="209"/>
      <c r="RQ11" s="209"/>
      <c r="RR11" s="209" t="s">
        <v>84</v>
      </c>
      <c r="RS11" s="209"/>
      <c r="RT11" s="209"/>
      <c r="RU11" s="209"/>
      <c r="RV11" s="209"/>
      <c r="RW11" s="209"/>
      <c r="RX11" s="209"/>
      <c r="RY11" s="209"/>
      <c r="RZ11" s="209"/>
      <c r="SA11" s="209"/>
      <c r="SB11" s="209"/>
      <c r="SC11" s="209"/>
      <c r="SD11" s="209"/>
      <c r="SE11" s="209"/>
      <c r="SF11" s="209"/>
      <c r="SG11" s="209"/>
      <c r="SH11" s="209"/>
      <c r="SI11" s="209"/>
      <c r="SJ11" s="209"/>
      <c r="SK11" s="209"/>
      <c r="SL11" s="209"/>
      <c r="SM11" s="209"/>
      <c r="SN11" s="209"/>
      <c r="SO11" s="209"/>
      <c r="SP11" s="209"/>
      <c r="SQ11" s="209"/>
      <c r="SR11" s="209"/>
      <c r="SS11" s="209"/>
      <c r="ST11" s="209"/>
      <c r="SU11" s="209"/>
      <c r="SV11" s="209"/>
      <c r="SW11" s="209"/>
      <c r="SX11" s="209"/>
      <c r="SY11" s="209"/>
      <c r="SZ11" s="209"/>
      <c r="TA11" s="209"/>
      <c r="TB11" s="209"/>
      <c r="TC11" s="209"/>
      <c r="TD11" s="209"/>
      <c r="TE11" s="209"/>
      <c r="TF11" s="209"/>
      <c r="TG11" s="209"/>
      <c r="TH11" s="209"/>
      <c r="TI11" s="209"/>
      <c r="TJ11" s="209"/>
      <c r="TK11" s="209"/>
      <c r="TL11" s="209"/>
      <c r="TM11" s="209"/>
      <c r="TN11" s="209"/>
      <c r="TO11" s="209"/>
      <c r="TP11" s="209"/>
      <c r="TQ11" s="209"/>
      <c r="TR11" s="209"/>
      <c r="TS11" s="209"/>
      <c r="TT11" s="209"/>
      <c r="TU11" s="209"/>
      <c r="TV11" s="209"/>
      <c r="TW11" s="209"/>
      <c r="TX11" s="209"/>
      <c r="TY11" s="209"/>
      <c r="TZ11" s="209" t="s">
        <v>83</v>
      </c>
      <c r="UA11" s="209"/>
      <c r="UB11" s="209"/>
      <c r="UC11" s="209"/>
      <c r="UD11" s="209"/>
      <c r="UE11" s="209"/>
      <c r="UF11" s="209"/>
      <c r="UG11" s="209"/>
      <c r="UH11" s="209"/>
      <c r="UI11" s="209"/>
      <c r="UJ11" s="209"/>
      <c r="UK11" s="209"/>
      <c r="UL11" s="209"/>
      <c r="UM11" s="209"/>
      <c r="UN11" s="209"/>
      <c r="UO11" s="209"/>
      <c r="UP11" s="209"/>
      <c r="UQ11" s="209"/>
      <c r="UR11" s="209"/>
      <c r="US11" s="209"/>
      <c r="UT11" s="209"/>
      <c r="UU11" s="209"/>
      <c r="UV11" s="209"/>
      <c r="UW11" s="209"/>
      <c r="UX11" s="209"/>
      <c r="UY11" s="209"/>
      <c r="UZ11" s="209"/>
      <c r="VA11" s="209"/>
      <c r="VB11" s="209"/>
      <c r="VC11" s="209"/>
      <c r="VD11" s="209"/>
      <c r="VE11" s="209"/>
      <c r="VF11" s="209"/>
      <c r="VG11" s="209"/>
      <c r="VH11" s="209"/>
      <c r="VI11" s="209"/>
      <c r="VJ11" s="209"/>
      <c r="VK11" s="209"/>
      <c r="VL11" s="209"/>
      <c r="VM11" s="209"/>
      <c r="VN11" s="209"/>
      <c r="VO11" s="209"/>
      <c r="VP11" s="209"/>
      <c r="VQ11" s="209"/>
      <c r="VR11" s="209"/>
      <c r="VS11" s="209"/>
      <c r="VT11" s="209"/>
      <c r="VU11" s="209"/>
      <c r="VV11" s="209"/>
      <c r="VW11" s="209"/>
      <c r="VX11" s="209"/>
      <c r="VY11" s="209"/>
      <c r="VZ11" s="209"/>
      <c r="WA11" s="209"/>
      <c r="WB11" s="209"/>
      <c r="WC11" s="209"/>
      <c r="WD11" s="209"/>
      <c r="WE11" s="209"/>
      <c r="WF11" s="209"/>
      <c r="WG11" s="209"/>
      <c r="WH11" s="209" t="s">
        <v>83</v>
      </c>
      <c r="WI11" s="209"/>
      <c r="WJ11" s="209"/>
      <c r="WK11" s="209"/>
      <c r="WL11" s="209"/>
      <c r="WM11" s="209"/>
      <c r="WN11" s="209"/>
      <c r="WO11" s="209"/>
      <c r="WP11" s="209"/>
      <c r="WQ11" s="209"/>
      <c r="WR11" s="209"/>
      <c r="WS11" s="209"/>
      <c r="WT11" s="209"/>
      <c r="WU11" s="209"/>
      <c r="WV11" s="209"/>
      <c r="WW11" s="209"/>
      <c r="WX11" s="209"/>
      <c r="WY11" s="209"/>
      <c r="WZ11" s="209"/>
      <c r="XA11" s="209"/>
      <c r="XB11" s="209"/>
      <c r="XC11" s="209"/>
      <c r="XD11" s="209"/>
      <c r="XE11" s="209"/>
      <c r="XF11" s="209"/>
      <c r="XG11" s="209"/>
      <c r="XH11" s="209"/>
      <c r="XI11" s="209"/>
      <c r="XJ11" s="209"/>
      <c r="XK11" s="209"/>
      <c r="XL11" s="209"/>
      <c r="XM11" s="209"/>
      <c r="XN11" s="209"/>
      <c r="XO11" s="209"/>
      <c r="XP11" s="209"/>
      <c r="XQ11" s="209"/>
      <c r="XR11" s="209"/>
      <c r="XS11" s="209"/>
      <c r="XT11" s="209"/>
      <c r="XU11" s="209"/>
      <c r="XV11" s="209"/>
      <c r="XW11" s="209"/>
      <c r="XX11" s="209"/>
      <c r="XY11" s="209"/>
      <c r="XZ11" s="209"/>
      <c r="YA11" s="209"/>
      <c r="YB11" s="209"/>
      <c r="YC11" s="209"/>
      <c r="YD11" s="209"/>
      <c r="YE11" s="209"/>
      <c r="YF11" s="209"/>
      <c r="YG11" s="209"/>
      <c r="YH11" s="209"/>
      <c r="YI11" s="209"/>
      <c r="YJ11" s="209"/>
      <c r="YK11" s="209"/>
      <c r="YL11" s="209"/>
      <c r="YM11" s="209"/>
      <c r="YN11" s="209"/>
      <c r="YO11" s="209"/>
      <c r="YP11" s="209" t="s">
        <v>82</v>
      </c>
      <c r="YQ11" s="209"/>
      <c r="YR11" s="209"/>
      <c r="YS11" s="209"/>
      <c r="YT11" s="209"/>
      <c r="YU11" s="209"/>
      <c r="YV11" s="209"/>
      <c r="YW11" s="209"/>
      <c r="YX11" s="209"/>
      <c r="YY11" s="209"/>
      <c r="YZ11" s="209"/>
      <c r="ZA11" s="209"/>
      <c r="ZB11" s="209"/>
      <c r="ZC11" s="209"/>
      <c r="ZD11" s="209"/>
      <c r="ZE11" s="209"/>
      <c r="ZF11" s="209"/>
      <c r="ZG11" s="209"/>
      <c r="ZH11" s="209"/>
      <c r="ZI11" s="209"/>
      <c r="ZJ11" s="209"/>
      <c r="ZK11" s="209"/>
      <c r="ZL11" s="209"/>
      <c r="ZM11" s="209"/>
      <c r="ZN11" s="209"/>
      <c r="ZO11" s="209"/>
      <c r="ZP11" s="209"/>
      <c r="ZQ11" s="209"/>
      <c r="ZR11" s="209"/>
      <c r="ZS11" s="209"/>
      <c r="ZT11" s="209"/>
      <c r="ZU11" s="209"/>
      <c r="ZV11" s="209"/>
      <c r="ZW11" s="209"/>
      <c r="ZX11" s="209"/>
      <c r="ZY11" s="209"/>
      <c r="ZZ11" s="209"/>
      <c r="AAA11" s="209"/>
      <c r="AAB11" s="209"/>
      <c r="AAC11" s="209"/>
      <c r="AAD11" s="209"/>
      <c r="AAE11" s="209"/>
      <c r="AAF11" s="209"/>
      <c r="AAG11" s="209"/>
      <c r="AAH11" s="209"/>
      <c r="AAI11" s="209"/>
      <c r="AAJ11" s="209"/>
      <c r="AAK11" s="209"/>
      <c r="AAL11" s="209"/>
      <c r="AAM11" s="209"/>
      <c r="AAN11" s="209"/>
      <c r="AAO11" s="209"/>
      <c r="AAP11" s="209"/>
      <c r="AAQ11" s="209"/>
      <c r="AAR11" s="209"/>
      <c r="AAS11" s="209"/>
      <c r="AAT11" s="209"/>
      <c r="AAU11" s="209"/>
      <c r="AAV11" s="209"/>
      <c r="AAW11" s="209"/>
      <c r="AAX11" s="209" t="s">
        <v>82</v>
      </c>
      <c r="AAY11" s="209"/>
      <c r="AAZ11" s="209"/>
      <c r="ABA11" s="209"/>
      <c r="ABB11" s="209"/>
      <c r="ABC11" s="209"/>
      <c r="ABD11" s="209"/>
      <c r="ABE11" s="209"/>
      <c r="ABF11" s="209"/>
      <c r="ABG11" s="209"/>
      <c r="ABH11" s="209"/>
      <c r="ABI11" s="209"/>
      <c r="ABJ11" s="209"/>
      <c r="ABK11" s="209"/>
      <c r="ABL11" s="209"/>
      <c r="ABM11" s="209"/>
      <c r="ABN11" s="209"/>
      <c r="ABO11" s="209"/>
      <c r="ABP11" s="209"/>
      <c r="ABQ11" s="209"/>
      <c r="ABR11" s="209"/>
      <c r="ABS11" s="209"/>
      <c r="ABT11" s="209"/>
      <c r="ABU11" s="209"/>
      <c r="ABV11" s="209"/>
      <c r="ABW11" s="209"/>
      <c r="ABX11" s="209"/>
      <c r="ABY11" s="209"/>
      <c r="ABZ11" s="209"/>
      <c r="ACA11" s="209"/>
      <c r="ACB11" s="209"/>
      <c r="ACC11" s="209"/>
      <c r="ACD11" s="209"/>
      <c r="ACE11" s="209"/>
      <c r="ACF11" s="209"/>
      <c r="ACG11" s="209"/>
      <c r="ACH11" s="209"/>
      <c r="ACI11" s="209"/>
      <c r="ACJ11" s="209"/>
      <c r="ACK11" s="209"/>
      <c r="ACL11" s="209"/>
      <c r="ACM11" s="209"/>
      <c r="ACN11" s="209"/>
      <c r="ACO11" s="209"/>
      <c r="ACP11" s="209"/>
      <c r="ACQ11" s="209"/>
      <c r="ACR11" s="209"/>
      <c r="ACS11" s="209"/>
      <c r="ACT11" s="209"/>
      <c r="ACU11" s="209"/>
      <c r="ACV11" s="209"/>
      <c r="ACW11" s="209"/>
      <c r="ACX11" s="209"/>
      <c r="ACY11" s="209"/>
      <c r="ACZ11" s="209"/>
      <c r="ADA11" s="209"/>
      <c r="ADB11" s="209"/>
      <c r="ADC11" s="209"/>
      <c r="ADD11" s="209"/>
      <c r="ADE11" s="209"/>
      <c r="ADF11" s="209" t="s">
        <v>81</v>
      </c>
      <c r="ADG11" s="209"/>
      <c r="ADH11" s="209"/>
      <c r="ADI11" s="209"/>
      <c r="ADJ11" s="209"/>
      <c r="ADK11" s="209"/>
      <c r="ADL11" s="209"/>
      <c r="ADM11" s="209"/>
      <c r="ADN11" s="209"/>
      <c r="ADO11" s="209"/>
      <c r="ADP11" s="209"/>
      <c r="ADQ11" s="209"/>
      <c r="ADR11" s="209"/>
      <c r="ADS11" s="209"/>
      <c r="ADT11" s="209"/>
      <c r="ADU11" s="209"/>
      <c r="ADV11" s="209"/>
      <c r="ADW11" s="209"/>
      <c r="ADX11" s="209"/>
      <c r="ADY11" s="209"/>
      <c r="ADZ11" s="209"/>
      <c r="AEA11" s="209"/>
      <c r="AEB11" s="209"/>
      <c r="AEC11" s="209"/>
      <c r="AED11" s="209"/>
      <c r="AEE11" s="209"/>
      <c r="AEF11" s="209"/>
      <c r="AEG11" s="209"/>
      <c r="AEH11" s="209"/>
      <c r="AEI11" s="209"/>
      <c r="AEJ11" s="209"/>
      <c r="AEK11" s="209"/>
      <c r="AEL11" s="209"/>
      <c r="AEM11" s="209"/>
      <c r="AEN11" s="209"/>
      <c r="AEO11" s="209"/>
      <c r="AEP11" s="209"/>
      <c r="AEQ11" s="209"/>
      <c r="AER11" s="209"/>
      <c r="AES11" s="209"/>
      <c r="AET11" s="209"/>
      <c r="AEU11" s="209"/>
      <c r="AEV11" s="209"/>
      <c r="AEW11" s="209"/>
      <c r="AEX11" s="209"/>
      <c r="AEY11" s="209"/>
      <c r="AEZ11" s="209"/>
      <c r="AFA11" s="209"/>
      <c r="AFB11" s="209"/>
      <c r="AFC11" s="209"/>
      <c r="AFD11" s="209"/>
      <c r="AFE11" s="209"/>
      <c r="AFF11" s="209"/>
      <c r="AFG11" s="209"/>
      <c r="AFH11" s="209"/>
      <c r="AFI11" s="209"/>
      <c r="AFJ11" s="209"/>
      <c r="AFK11" s="209"/>
      <c r="AFL11" s="209"/>
      <c r="AFM11" s="209"/>
      <c r="AFN11" s="209" t="s">
        <v>81</v>
      </c>
      <c r="AFO11" s="209"/>
      <c r="AFP11" s="209"/>
      <c r="AFQ11" s="209"/>
      <c r="AFR11" s="209"/>
      <c r="AFS11" s="209"/>
      <c r="AFT11" s="209"/>
      <c r="AFU11" s="209"/>
      <c r="AFV11" s="209"/>
      <c r="AFW11" s="209"/>
      <c r="AFX11" s="209"/>
      <c r="AFY11" s="209"/>
      <c r="AFZ11" s="209"/>
      <c r="AGA11" s="209"/>
      <c r="AGB11" s="209"/>
      <c r="AGC11" s="209"/>
      <c r="AGD11" s="209"/>
      <c r="AGE11" s="209"/>
      <c r="AGF11" s="209"/>
      <c r="AGG11" s="209"/>
      <c r="AGH11" s="209"/>
      <c r="AGI11" s="209"/>
      <c r="AGJ11" s="209"/>
      <c r="AGK11" s="209"/>
      <c r="AGL11" s="209"/>
      <c r="AGM11" s="209"/>
      <c r="AGN11" s="209"/>
      <c r="AGO11" s="209"/>
      <c r="AGP11" s="209"/>
      <c r="AGQ11" s="209"/>
      <c r="AGR11" s="209"/>
      <c r="AGS11" s="209"/>
      <c r="AGT11" s="209"/>
      <c r="AGU11" s="209"/>
      <c r="AGV11" s="209"/>
      <c r="AGW11" s="209"/>
      <c r="AGX11" s="209"/>
      <c r="AGY11" s="209"/>
      <c r="AGZ11" s="209"/>
      <c r="AHA11" s="209"/>
      <c r="AHB11" s="209"/>
      <c r="AHC11" s="209"/>
      <c r="AHD11" s="209"/>
      <c r="AHE11" s="209"/>
      <c r="AHF11" s="209"/>
      <c r="AHG11" s="209"/>
      <c r="AHH11" s="209"/>
      <c r="AHI11" s="209"/>
      <c r="AHJ11" s="209"/>
      <c r="AHK11" s="209"/>
      <c r="AHL11" s="209"/>
      <c r="AHM11" s="209"/>
      <c r="AHN11" s="209"/>
      <c r="AHO11" s="209"/>
      <c r="AHP11" s="209"/>
      <c r="AHQ11" s="209"/>
      <c r="AHR11" s="209"/>
      <c r="AHS11" s="209"/>
      <c r="AHT11" s="209"/>
      <c r="AHU11" s="209"/>
      <c r="AHV11" s="209" t="s">
        <v>80</v>
      </c>
      <c r="AHW11" s="209"/>
      <c r="AHX11" s="209"/>
      <c r="AHY11" s="209"/>
      <c r="AHZ11" s="209"/>
      <c r="AIA11" s="209"/>
      <c r="AIB11" s="209"/>
      <c r="AIC11" s="209"/>
      <c r="AID11" s="209"/>
      <c r="AIE11" s="209"/>
      <c r="AIF11" s="209"/>
      <c r="AIG11" s="209"/>
      <c r="AIH11" s="209"/>
      <c r="AII11" s="209"/>
      <c r="AIJ11" s="209"/>
      <c r="AIK11" s="209"/>
      <c r="AIL11" s="209"/>
      <c r="AIM11" s="209"/>
      <c r="AIN11" s="209"/>
      <c r="AIO11" s="209"/>
      <c r="AIP11" s="209"/>
      <c r="AIQ11" s="209"/>
      <c r="AIR11" s="209"/>
      <c r="AIS11" s="209"/>
      <c r="AIT11" s="209"/>
      <c r="AIU11" s="209"/>
      <c r="AIV11" s="209"/>
      <c r="AIW11" s="209"/>
      <c r="AIX11" s="209"/>
      <c r="AIY11" s="209"/>
      <c r="AIZ11" s="209"/>
      <c r="AJA11" s="209"/>
      <c r="AJB11" s="209"/>
      <c r="AJC11" s="209"/>
      <c r="AJD11" s="209"/>
      <c r="AJE11" s="209"/>
      <c r="AJF11" s="209"/>
      <c r="AJG11" s="209"/>
      <c r="AJH11" s="209"/>
      <c r="AJI11" s="209"/>
      <c r="AJJ11" s="209"/>
      <c r="AJK11" s="209"/>
      <c r="AJL11" s="209"/>
      <c r="AJM11" s="209"/>
      <c r="AJN11" s="209"/>
      <c r="AJO11" s="209"/>
      <c r="AJP11" s="209"/>
      <c r="AJQ11" s="209"/>
      <c r="AJR11" s="209"/>
      <c r="AJS11" s="209"/>
      <c r="AJT11" s="209"/>
      <c r="AJU11" s="209"/>
      <c r="AJV11" s="209"/>
      <c r="AJW11" s="209"/>
      <c r="AJX11" s="209"/>
      <c r="AJY11" s="209"/>
      <c r="AJZ11" s="209"/>
      <c r="AKA11" s="209"/>
      <c r="AKB11" s="209"/>
      <c r="AKC11" s="209"/>
      <c r="AKD11" s="209" t="s">
        <v>80</v>
      </c>
      <c r="AKE11" s="209"/>
      <c r="AKF11" s="209"/>
      <c r="AKG11" s="209"/>
      <c r="AKH11" s="209"/>
      <c r="AKI11" s="209"/>
      <c r="AKJ11" s="209"/>
      <c r="AKK11" s="209"/>
      <c r="AKL11" s="209"/>
      <c r="AKM11" s="209"/>
      <c r="AKN11" s="209"/>
      <c r="AKO11" s="209"/>
      <c r="AKP11" s="209"/>
      <c r="AKQ11" s="209"/>
      <c r="AKR11" s="209"/>
      <c r="AKS11" s="209"/>
      <c r="AKT11" s="209"/>
      <c r="AKU11" s="209"/>
      <c r="AKV11" s="209"/>
      <c r="AKW11" s="209"/>
      <c r="AKX11" s="209"/>
      <c r="AKY11" s="209"/>
      <c r="AKZ11" s="209"/>
      <c r="ALA11" s="209"/>
      <c r="ALB11" s="209"/>
      <c r="ALC11" s="209"/>
      <c r="ALD11" s="209"/>
      <c r="ALE11" s="209"/>
      <c r="ALF11" s="209"/>
      <c r="ALG11" s="209"/>
      <c r="ALH11" s="209"/>
      <c r="ALI11" s="209"/>
      <c r="ALJ11" s="209"/>
      <c r="ALK11" s="209"/>
      <c r="ALL11" s="209"/>
      <c r="ALM11" s="209"/>
      <c r="ALN11" s="209"/>
      <c r="ALO11" s="209"/>
      <c r="ALP11" s="209"/>
      <c r="ALQ11" s="209"/>
      <c r="ALR11" s="209"/>
      <c r="ALS11" s="209"/>
      <c r="ALT11" s="209"/>
      <c r="ALU11" s="209"/>
      <c r="ALV11" s="209"/>
      <c r="ALW11" s="209"/>
      <c r="ALX11" s="209"/>
      <c r="ALY11" s="209"/>
      <c r="ALZ11" s="209"/>
      <c r="AMA11" s="209"/>
      <c r="AMB11" s="209"/>
      <c r="AMC11" s="209"/>
      <c r="AMD11" s="209"/>
      <c r="AME11" s="209"/>
      <c r="AMF11" s="209"/>
      <c r="AMG11" s="209"/>
      <c r="AMH11" s="209"/>
      <c r="AMI11" s="209"/>
      <c r="AMJ11" s="209"/>
      <c r="AMK11" s="209"/>
      <c r="AML11" s="209" t="s">
        <v>79</v>
      </c>
      <c r="AMM11" s="209"/>
      <c r="AMN11" s="209"/>
      <c r="AMO11" s="209"/>
      <c r="AMP11" s="209"/>
      <c r="AMQ11" s="209"/>
      <c r="AMR11" s="209"/>
      <c r="AMS11" s="209"/>
      <c r="AMT11" s="209"/>
      <c r="AMU11" s="209"/>
      <c r="AMV11" s="209"/>
      <c r="AMW11" s="209"/>
      <c r="AMX11" s="209"/>
      <c r="AMY11" s="209"/>
      <c r="AMZ11" s="209"/>
      <c r="ANA11" s="209"/>
      <c r="ANB11" s="209"/>
      <c r="ANC11" s="209"/>
      <c r="AND11" s="209"/>
      <c r="ANE11" s="209"/>
      <c r="ANF11" s="209"/>
      <c r="ANG11" s="209"/>
      <c r="ANH11" s="209"/>
      <c r="ANI11" s="209"/>
      <c r="ANJ11" s="209"/>
      <c r="ANK11" s="209"/>
      <c r="ANL11" s="209"/>
      <c r="ANM11" s="209"/>
      <c r="ANN11" s="209"/>
      <c r="ANO11" s="209"/>
      <c r="ANP11" s="209"/>
      <c r="ANQ11" s="209"/>
      <c r="ANR11" s="209"/>
      <c r="ANS11" s="209"/>
      <c r="ANT11" s="209"/>
      <c r="ANU11" s="209"/>
      <c r="ANV11" s="209"/>
      <c r="ANW11" s="209"/>
      <c r="ANX11" s="209"/>
      <c r="ANY11" s="209"/>
      <c r="ANZ11" s="209"/>
      <c r="AOA11" s="209"/>
      <c r="AOB11" s="209"/>
      <c r="AOC11" s="209"/>
      <c r="AOD11" s="209"/>
      <c r="AOE11" s="209"/>
      <c r="AOF11" s="209"/>
      <c r="AOG11" s="209"/>
      <c r="AOH11" s="209"/>
      <c r="AOI11" s="209"/>
      <c r="AOJ11" s="209"/>
      <c r="AOK11" s="209"/>
      <c r="AOL11" s="209"/>
      <c r="AOM11" s="209"/>
      <c r="AON11" s="209"/>
      <c r="AOO11" s="209"/>
      <c r="AOP11" s="209"/>
      <c r="AOQ11" s="209"/>
      <c r="AOR11" s="209"/>
      <c r="AOS11" s="209"/>
      <c r="AOT11" s="209" t="s">
        <v>78</v>
      </c>
      <c r="AOU11" s="209"/>
      <c r="AOV11" s="209"/>
      <c r="AOW11" s="209"/>
      <c r="AOX11" s="209"/>
      <c r="AOY11" s="209"/>
      <c r="AOZ11" s="209"/>
      <c r="APA11" s="209"/>
      <c r="APB11" s="209"/>
      <c r="APC11" s="209"/>
      <c r="APD11" s="209"/>
      <c r="APE11" s="209"/>
      <c r="APF11" s="209"/>
      <c r="APG11" s="209"/>
      <c r="APH11" s="209"/>
      <c r="API11" s="209"/>
      <c r="APJ11" s="209"/>
      <c r="APK11" s="209"/>
      <c r="APL11" s="209"/>
      <c r="APM11" s="209"/>
      <c r="APN11" s="209"/>
      <c r="APO11" s="209"/>
      <c r="APP11" s="209"/>
      <c r="APQ11" s="209"/>
      <c r="APR11" s="209"/>
      <c r="APS11" s="209"/>
      <c r="APT11" s="209"/>
      <c r="APU11" s="209"/>
      <c r="APV11" s="209"/>
      <c r="APW11" s="209"/>
      <c r="APX11" s="209"/>
      <c r="APY11" s="209"/>
      <c r="APZ11" s="209"/>
      <c r="AQA11" s="209"/>
      <c r="AQB11" s="209"/>
      <c r="AQC11" s="209"/>
      <c r="AQD11" s="209"/>
      <c r="AQE11" s="209"/>
      <c r="AQF11" s="209"/>
      <c r="AQG11" s="209"/>
      <c r="AQH11" s="209"/>
      <c r="AQI11" s="209"/>
      <c r="AQJ11" s="209"/>
      <c r="AQK11" s="209"/>
      <c r="AQL11" s="209"/>
      <c r="AQM11" s="209"/>
      <c r="AQN11" s="209"/>
      <c r="AQO11" s="209"/>
      <c r="AQP11" s="209"/>
      <c r="AQQ11" s="209"/>
      <c r="AQR11" s="209"/>
      <c r="AQS11" s="209"/>
      <c r="AQT11" s="209"/>
      <c r="AQU11" s="209"/>
      <c r="AQV11" s="209"/>
      <c r="AQW11" s="209"/>
      <c r="AQX11" s="209"/>
      <c r="AQY11" s="209"/>
      <c r="AQZ11" s="209"/>
      <c r="ARA11" s="209"/>
      <c r="ARB11" s="209" t="s">
        <v>78</v>
      </c>
      <c r="ARC11" s="209"/>
      <c r="ARD11" s="209"/>
      <c r="ARE11" s="209"/>
      <c r="ARF11" s="209"/>
      <c r="ARG11" s="209"/>
      <c r="ARH11" s="209"/>
      <c r="ARI11" s="209"/>
      <c r="ARJ11" s="209"/>
      <c r="ARK11" s="209"/>
      <c r="ARL11" s="209"/>
      <c r="ARM11" s="209"/>
      <c r="ARN11" s="209"/>
      <c r="ARO11" s="209"/>
      <c r="ARP11" s="209"/>
      <c r="ARQ11" s="209"/>
      <c r="ARR11" s="209"/>
      <c r="ARS11" s="209"/>
      <c r="ART11" s="209"/>
      <c r="ARU11" s="209"/>
      <c r="ARV11" s="209"/>
      <c r="ARW11" s="209"/>
      <c r="ARX11" s="209"/>
      <c r="ARY11" s="209"/>
      <c r="ARZ11" s="209"/>
      <c r="ASA11" s="209"/>
      <c r="ASB11" s="209"/>
      <c r="ASC11" s="209"/>
      <c r="ASD11" s="209"/>
      <c r="ASE11" s="209"/>
      <c r="ASF11" s="209"/>
      <c r="ASG11" s="209"/>
      <c r="ASH11" s="209"/>
      <c r="ASI11" s="209"/>
      <c r="ASJ11" s="209"/>
      <c r="ASK11" s="209"/>
      <c r="ASL11" s="209"/>
      <c r="ASM11" s="209"/>
      <c r="ASN11" s="209"/>
      <c r="ASO11" s="209"/>
      <c r="ASP11" s="209"/>
      <c r="ASQ11" s="209"/>
      <c r="ASR11" s="209"/>
      <c r="ASS11" s="209"/>
      <c r="AST11" s="209"/>
      <c r="ASU11" s="209"/>
      <c r="ASV11" s="209"/>
      <c r="ASW11" s="209"/>
      <c r="ASX11" s="209"/>
      <c r="ASY11" s="209"/>
      <c r="ASZ11" s="209"/>
      <c r="ATA11" s="209"/>
      <c r="ATB11" s="209"/>
      <c r="ATC11" s="209"/>
      <c r="ATD11" s="209"/>
      <c r="ATE11" s="209"/>
      <c r="ATF11" s="209"/>
      <c r="ATG11" s="209"/>
      <c r="ATH11" s="209"/>
      <c r="ATI11" s="209"/>
      <c r="ATJ11" s="209" t="s">
        <v>77</v>
      </c>
      <c r="ATK11" s="209"/>
      <c r="ATL11" s="209"/>
      <c r="ATM11" s="209"/>
      <c r="ATN11" s="209"/>
      <c r="ATO11" s="209"/>
      <c r="ATP11" s="209"/>
      <c r="ATQ11" s="209"/>
      <c r="ATR11" s="209"/>
      <c r="ATS11" s="209"/>
      <c r="ATT11" s="209"/>
      <c r="ATU11" s="209"/>
      <c r="ATV11" s="209"/>
      <c r="ATW11" s="209"/>
      <c r="ATX11" s="209"/>
      <c r="ATY11" s="209"/>
      <c r="ATZ11" s="209"/>
      <c r="AUA11" s="209"/>
      <c r="AUB11" s="209"/>
      <c r="AUC11" s="209"/>
      <c r="AUD11" s="209"/>
      <c r="AUE11" s="209"/>
      <c r="AUF11" s="209"/>
      <c r="AUG11" s="209"/>
      <c r="AUH11" s="209"/>
      <c r="AUI11" s="209"/>
      <c r="AUJ11" s="209"/>
      <c r="AUK11" s="209"/>
      <c r="AUL11" s="209"/>
      <c r="AUM11" s="209"/>
      <c r="AUN11" s="209"/>
      <c r="AUO11" s="209"/>
      <c r="AUP11" s="209"/>
      <c r="AUQ11" s="209"/>
      <c r="AUR11" s="209"/>
      <c r="AUS11" s="209"/>
      <c r="AUT11" s="209"/>
      <c r="AUU11" s="209"/>
      <c r="AUV11" s="209"/>
      <c r="AUW11" s="209"/>
      <c r="AUX11" s="209"/>
      <c r="AUY11" s="209"/>
      <c r="AUZ11" s="209"/>
      <c r="AVA11" s="209"/>
      <c r="AVB11" s="209"/>
      <c r="AVC11" s="209"/>
      <c r="AVD11" s="209"/>
      <c r="AVE11" s="209"/>
      <c r="AVF11" s="209"/>
      <c r="AVG11" s="209"/>
      <c r="AVH11" s="209"/>
      <c r="AVI11" s="209"/>
      <c r="AVJ11" s="209"/>
      <c r="AVK11" s="209"/>
      <c r="AVL11" s="209"/>
      <c r="AVM11" s="209"/>
      <c r="AVN11" s="209"/>
      <c r="AVO11" s="209"/>
      <c r="AVP11" s="209"/>
      <c r="AVQ11" s="209"/>
      <c r="AVR11" s="209" t="s">
        <v>76</v>
      </c>
      <c r="AVS11" s="209"/>
      <c r="AVT11" s="209"/>
      <c r="AVU11" s="209"/>
      <c r="AVV11" s="209"/>
      <c r="AVW11" s="209"/>
      <c r="AVX11" s="209"/>
      <c r="AVY11" s="209"/>
      <c r="AVZ11" s="209"/>
      <c r="AWA11" s="209"/>
      <c r="AWB11" s="209"/>
      <c r="AWC11" s="209"/>
      <c r="AWD11" s="209"/>
      <c r="AWE11" s="209"/>
      <c r="AWF11" s="209"/>
      <c r="AWG11" s="209"/>
      <c r="AWH11" s="209"/>
      <c r="AWI11" s="209"/>
      <c r="AWJ11" s="209"/>
      <c r="AWK11" s="209"/>
      <c r="AWL11" s="209"/>
      <c r="AWM11" s="209"/>
      <c r="AWN11" s="209"/>
      <c r="AWO11" s="209"/>
      <c r="AWP11" s="209"/>
      <c r="AWQ11" s="209"/>
      <c r="AWR11" s="209"/>
      <c r="AWS11" s="209"/>
      <c r="AWT11" s="209"/>
      <c r="AWU11" s="209"/>
      <c r="AWV11" s="209"/>
      <c r="AWW11" s="209"/>
      <c r="AWX11" s="209"/>
      <c r="AWY11" s="209"/>
      <c r="AWZ11" s="209"/>
      <c r="AXA11" s="209"/>
      <c r="AXB11" s="209"/>
      <c r="AXC11" s="209"/>
      <c r="AXD11" s="209"/>
      <c r="AXE11" s="209"/>
      <c r="AXF11" s="209"/>
      <c r="AXG11" s="209"/>
      <c r="AXH11" s="209"/>
      <c r="AXI11" s="209"/>
      <c r="AXJ11" s="209"/>
      <c r="AXK11" s="209"/>
      <c r="AXL11" s="209"/>
      <c r="AXM11" s="209"/>
      <c r="AXN11" s="209"/>
      <c r="AXO11" s="209"/>
      <c r="AXP11" s="209"/>
      <c r="AXQ11" s="209"/>
      <c r="AXR11" s="209"/>
      <c r="AXS11" s="209"/>
      <c r="AXT11" s="209"/>
      <c r="AXU11" s="209"/>
      <c r="AXV11" s="209"/>
      <c r="AXW11" s="209"/>
      <c r="AXX11" s="209"/>
      <c r="AXY11" s="209"/>
      <c r="AXZ11" s="209" t="s">
        <v>76</v>
      </c>
      <c r="AYA11" s="209"/>
      <c r="AYB11" s="209"/>
      <c r="AYC11" s="209"/>
      <c r="AYD11" s="209"/>
      <c r="AYE11" s="209"/>
      <c r="AYF11" s="209"/>
      <c r="AYG11" s="209"/>
      <c r="AYH11" s="209"/>
      <c r="AYI11" s="209"/>
      <c r="AYJ11" s="209"/>
      <c r="AYK11" s="209"/>
      <c r="AYL11" s="209"/>
      <c r="AYM11" s="209"/>
      <c r="AYN11" s="209"/>
      <c r="AYO11" s="209"/>
      <c r="AYP11" s="209"/>
      <c r="AYQ11" s="209"/>
      <c r="AYR11" s="209"/>
      <c r="AYS11" s="209"/>
      <c r="AYT11" s="209"/>
      <c r="AYU11" s="209"/>
      <c r="AYV11" s="209"/>
      <c r="AYW11" s="209"/>
      <c r="AYX11" s="209"/>
      <c r="AYY11" s="209"/>
      <c r="AYZ11" s="209"/>
      <c r="AZA11" s="209"/>
      <c r="AZB11" s="209"/>
      <c r="AZC11" s="209"/>
      <c r="AZD11" s="209"/>
      <c r="AZE11" s="209"/>
      <c r="AZF11" s="209"/>
      <c r="AZG11" s="209"/>
      <c r="AZH11" s="209"/>
      <c r="AZI11" s="209"/>
      <c r="AZJ11" s="209"/>
      <c r="AZK11" s="209"/>
      <c r="AZL11" s="209"/>
      <c r="AZM11" s="209"/>
      <c r="AZN11" s="209"/>
      <c r="AZO11" s="209"/>
      <c r="AZP11" s="209"/>
      <c r="AZQ11" s="209"/>
      <c r="AZR11" s="209"/>
      <c r="AZS11" s="209"/>
      <c r="AZT11" s="209"/>
      <c r="AZU11" s="209"/>
      <c r="AZV11" s="209"/>
      <c r="AZW11" s="209"/>
      <c r="AZX11" s="209"/>
      <c r="AZY11" s="209"/>
      <c r="AZZ11" s="209"/>
      <c r="BAA11" s="209"/>
      <c r="BAB11" s="209"/>
      <c r="BAC11" s="209"/>
      <c r="BAD11" s="209"/>
      <c r="BAE11" s="209"/>
      <c r="BAF11" s="209"/>
      <c r="BAG11" s="209"/>
      <c r="BAH11" s="209" t="s">
        <v>75</v>
      </c>
      <c r="BAI11" s="209"/>
      <c r="BAJ11" s="209"/>
      <c r="BAK11" s="209"/>
      <c r="BAL11" s="209"/>
      <c r="BAM11" s="209"/>
      <c r="BAN11" s="209"/>
      <c r="BAO11" s="209"/>
      <c r="BAP11" s="209"/>
      <c r="BAQ11" s="209"/>
      <c r="BAR11" s="209"/>
      <c r="BAS11" s="209"/>
      <c r="BAT11" s="209"/>
      <c r="BAU11" s="209"/>
      <c r="BAV11" s="209"/>
      <c r="BAW11" s="209"/>
      <c r="BAX11" s="209"/>
      <c r="BAY11" s="209"/>
      <c r="BAZ11" s="209"/>
      <c r="BBA11" s="209"/>
      <c r="BBB11" s="209"/>
      <c r="BBC11" s="209"/>
      <c r="BBD11" s="209"/>
      <c r="BBE11" s="209"/>
      <c r="BBF11" s="209"/>
      <c r="BBG11" s="209"/>
      <c r="BBH11" s="209"/>
      <c r="BBI11" s="209"/>
      <c r="BBJ11" s="209"/>
      <c r="BBK11" s="209"/>
      <c r="BBL11" s="209"/>
      <c r="BBM11" s="209"/>
      <c r="BBN11" s="209"/>
      <c r="BBO11" s="209"/>
      <c r="BBP11" s="209"/>
      <c r="BBQ11" s="209"/>
      <c r="BBR11" s="209"/>
      <c r="BBS11" s="209"/>
      <c r="BBT11" s="209"/>
      <c r="BBU11" s="209"/>
      <c r="BBV11" s="209"/>
      <c r="BBW11" s="209"/>
      <c r="BBX11" s="209"/>
      <c r="BBY11" s="209"/>
      <c r="BBZ11" s="209"/>
      <c r="BCA11" s="209"/>
      <c r="BCB11" s="209"/>
      <c r="BCC11" s="209"/>
      <c r="BCD11" s="209"/>
      <c r="BCE11" s="209"/>
      <c r="BCF11" s="209"/>
      <c r="BCG11" s="209"/>
      <c r="BCH11" s="209"/>
      <c r="BCI11" s="209"/>
      <c r="BCJ11" s="209"/>
      <c r="BCK11" s="209"/>
      <c r="BCL11" s="209"/>
      <c r="BCM11" s="209"/>
      <c r="BCN11" s="209"/>
      <c r="BCO11" s="209"/>
      <c r="BCP11" s="209" t="s">
        <v>75</v>
      </c>
      <c r="BCQ11" s="209"/>
      <c r="BCR11" s="209"/>
      <c r="BCS11" s="209"/>
      <c r="BCT11" s="209"/>
      <c r="BCU11" s="209"/>
      <c r="BCV11" s="209"/>
      <c r="BCW11" s="209"/>
      <c r="BCX11" s="209"/>
      <c r="BCY11" s="209"/>
      <c r="BCZ11" s="209"/>
      <c r="BDA11" s="209"/>
      <c r="BDB11" s="209"/>
      <c r="BDC11" s="209"/>
      <c r="BDD11" s="209"/>
      <c r="BDE11" s="209"/>
      <c r="BDF11" s="209"/>
      <c r="BDG11" s="209"/>
      <c r="BDH11" s="209"/>
      <c r="BDI11" s="209"/>
      <c r="BDJ11" s="209"/>
      <c r="BDK11" s="209"/>
      <c r="BDL11" s="209"/>
      <c r="BDM11" s="209"/>
      <c r="BDN11" s="209"/>
      <c r="BDO11" s="209"/>
      <c r="BDP11" s="209"/>
      <c r="BDQ11" s="209"/>
      <c r="BDR11" s="209"/>
      <c r="BDS11" s="209"/>
      <c r="BDT11" s="209"/>
      <c r="BDU11" s="209"/>
      <c r="BDV11" s="209"/>
      <c r="BDW11" s="209"/>
      <c r="BDX11" s="209"/>
      <c r="BDY11" s="209"/>
      <c r="BDZ11" s="209"/>
      <c r="BEA11" s="209"/>
      <c r="BEB11" s="209"/>
      <c r="BEC11" s="209"/>
      <c r="BED11" s="209"/>
      <c r="BEE11" s="209"/>
      <c r="BEF11" s="209"/>
      <c r="BEG11" s="209"/>
      <c r="BEH11" s="209"/>
      <c r="BEI11" s="209"/>
      <c r="BEJ11" s="209"/>
      <c r="BEK11" s="209"/>
      <c r="BEL11" s="209"/>
      <c r="BEM11" s="209"/>
      <c r="BEN11" s="209"/>
      <c r="BEO11" s="209"/>
      <c r="BEP11" s="209"/>
      <c r="BEQ11" s="209"/>
      <c r="BER11" s="209"/>
      <c r="BES11" s="209"/>
      <c r="BET11" s="209"/>
      <c r="BEU11" s="209"/>
      <c r="BEV11" s="209"/>
      <c r="BEW11" s="209"/>
      <c r="BEX11" s="209" t="s">
        <v>87</v>
      </c>
      <c r="BEY11" s="209"/>
      <c r="BEZ11" s="209"/>
      <c r="BFA11" s="209"/>
      <c r="BFB11" s="209"/>
      <c r="BFC11" s="209"/>
      <c r="BFD11" s="209"/>
      <c r="BFE11" s="209"/>
      <c r="BFF11" s="209"/>
      <c r="BFG11" s="209"/>
      <c r="BFH11" s="209"/>
      <c r="BFI11" s="209"/>
      <c r="BFJ11" s="209"/>
      <c r="BFK11" s="209"/>
      <c r="BFL11" s="209"/>
      <c r="BFM11" s="209"/>
      <c r="BFN11" s="209"/>
      <c r="BFO11" s="209"/>
      <c r="BFP11" s="209"/>
      <c r="BFQ11" s="209"/>
      <c r="BFR11" s="209"/>
      <c r="BFS11" s="209"/>
      <c r="BFT11" s="209"/>
      <c r="BFU11" s="209"/>
      <c r="BFV11" s="209"/>
      <c r="BFW11" s="209"/>
      <c r="BFX11" s="209"/>
      <c r="BFY11" s="209"/>
      <c r="BFZ11" s="209"/>
      <c r="BGA11" s="209"/>
      <c r="BGB11" s="209"/>
      <c r="BGC11" s="209"/>
      <c r="BGD11" s="209"/>
      <c r="BGE11" s="209"/>
      <c r="BGF11" s="209"/>
      <c r="BGG11" s="209"/>
      <c r="BGH11" s="209"/>
      <c r="BGI11" s="209"/>
      <c r="BGJ11" s="209"/>
      <c r="BGK11" s="209"/>
      <c r="BGL11" s="209"/>
      <c r="BGM11" s="209"/>
      <c r="BGN11" s="209"/>
      <c r="BGO11" s="209"/>
      <c r="BGP11" s="209"/>
      <c r="BGQ11" s="209"/>
      <c r="BGR11" s="209"/>
      <c r="BGS11" s="209"/>
      <c r="BGT11" s="209"/>
      <c r="BGU11" s="209"/>
      <c r="BGV11" s="209"/>
      <c r="BGW11" s="209"/>
      <c r="BGX11" s="209"/>
      <c r="BGY11" s="209"/>
      <c r="BGZ11" s="209"/>
      <c r="BHA11" s="209"/>
      <c r="BHB11" s="209"/>
      <c r="BHC11" s="209"/>
      <c r="BHD11" s="209"/>
      <c r="BHE11" s="209"/>
      <c r="BHF11" s="90"/>
      <c r="BJN11" s="3" t="s">
        <v>42</v>
      </c>
      <c r="BLV11" s="3" t="s">
        <v>42</v>
      </c>
      <c r="BOD11" s="3" t="s">
        <v>42</v>
      </c>
      <c r="BQL11" s="3" t="s">
        <v>42</v>
      </c>
      <c r="BST11" s="3" t="s">
        <v>42</v>
      </c>
    </row>
    <row r="12" spans="1:1866" ht="15.75" customHeight="1" thickBot="1" x14ac:dyDescent="0.3">
      <c r="B12" s="97"/>
      <c r="C12" s="238"/>
      <c r="D12" s="238"/>
      <c r="E12" s="238"/>
      <c r="F12" s="230" t="s">
        <v>44</v>
      </c>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230"/>
      <c r="BJ12" s="230"/>
      <c r="BK12" s="230"/>
      <c r="BL12" s="230"/>
      <c r="BM12" s="230"/>
      <c r="BN12" s="230" t="s">
        <v>45</v>
      </c>
      <c r="BO12" s="230"/>
      <c r="BP12" s="230"/>
      <c r="BQ12" s="230"/>
      <c r="BR12" s="230"/>
      <c r="BS12" s="230"/>
      <c r="BT12" s="230"/>
      <c r="BU12" s="230"/>
      <c r="BV12" s="230"/>
      <c r="BW12" s="230"/>
      <c r="BX12" s="230"/>
      <c r="BY12" s="230"/>
      <c r="BZ12" s="230"/>
      <c r="CA12" s="230"/>
      <c r="CB12" s="230"/>
      <c r="CC12" s="230"/>
      <c r="CD12" s="230"/>
      <c r="CE12" s="230"/>
      <c r="CF12" s="230"/>
      <c r="CG12" s="230"/>
      <c r="CH12" s="230"/>
      <c r="CI12" s="230"/>
      <c r="CJ12" s="230"/>
      <c r="CK12" s="230"/>
      <c r="CL12" s="230"/>
      <c r="CM12" s="230"/>
      <c r="CN12" s="230"/>
      <c r="CO12" s="230"/>
      <c r="CP12" s="230"/>
      <c r="CQ12" s="230"/>
      <c r="CR12" s="230"/>
      <c r="CS12" s="230"/>
      <c r="CT12" s="230"/>
      <c r="CU12" s="230"/>
      <c r="CV12" s="230"/>
      <c r="CW12" s="230"/>
      <c r="CX12" s="230"/>
      <c r="CY12" s="230"/>
      <c r="CZ12" s="230"/>
      <c r="DA12" s="230"/>
      <c r="DB12" s="230"/>
      <c r="DC12" s="230"/>
      <c r="DD12" s="230"/>
      <c r="DE12" s="230"/>
      <c r="DF12" s="230"/>
      <c r="DG12" s="230"/>
      <c r="DH12" s="230"/>
      <c r="DI12" s="230"/>
      <c r="DJ12" s="230"/>
      <c r="DK12" s="230"/>
      <c r="DL12" s="230"/>
      <c r="DM12" s="230"/>
      <c r="DN12" s="230"/>
      <c r="DO12" s="230"/>
      <c r="DP12" s="230"/>
      <c r="DQ12" s="230"/>
      <c r="DR12" s="230"/>
      <c r="DS12" s="230"/>
      <c r="DT12" s="230"/>
      <c r="DU12" s="230"/>
      <c r="DV12" s="210" t="s">
        <v>44</v>
      </c>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t="s">
        <v>45</v>
      </c>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t="s">
        <v>44</v>
      </c>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t="s">
        <v>45</v>
      </c>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t="s">
        <v>45</v>
      </c>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t="s">
        <v>44</v>
      </c>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c r="QQ12" s="210"/>
      <c r="QR12" s="210"/>
      <c r="QS12" s="210"/>
      <c r="QT12" s="210"/>
      <c r="QU12" s="210"/>
      <c r="QV12" s="210"/>
      <c r="QW12" s="210"/>
      <c r="QX12" s="210"/>
      <c r="QY12" s="210"/>
      <c r="QZ12" s="210"/>
      <c r="RA12" s="210"/>
      <c r="RB12" s="210"/>
      <c r="RC12" s="210"/>
      <c r="RD12" s="210"/>
      <c r="RE12" s="210"/>
      <c r="RF12" s="210"/>
      <c r="RG12" s="210"/>
      <c r="RH12" s="210"/>
      <c r="RI12" s="210"/>
      <c r="RJ12" s="210"/>
      <c r="RK12" s="210"/>
      <c r="RL12" s="210"/>
      <c r="RM12" s="210"/>
      <c r="RN12" s="210"/>
      <c r="RO12" s="210"/>
      <c r="RP12" s="210"/>
      <c r="RQ12" s="210"/>
      <c r="RR12" s="210" t="s">
        <v>45</v>
      </c>
      <c r="RS12" s="210"/>
      <c r="RT12" s="210"/>
      <c r="RU12" s="210"/>
      <c r="RV12" s="210"/>
      <c r="RW12" s="210"/>
      <c r="RX12" s="210"/>
      <c r="RY12" s="210"/>
      <c r="RZ12" s="210"/>
      <c r="SA12" s="210"/>
      <c r="SB12" s="210"/>
      <c r="SC12" s="210"/>
      <c r="SD12" s="210"/>
      <c r="SE12" s="210"/>
      <c r="SF12" s="210"/>
      <c r="SG12" s="210"/>
      <c r="SH12" s="210"/>
      <c r="SI12" s="210"/>
      <c r="SJ12" s="210"/>
      <c r="SK12" s="210"/>
      <c r="SL12" s="210"/>
      <c r="SM12" s="210"/>
      <c r="SN12" s="210"/>
      <c r="SO12" s="210"/>
      <c r="SP12" s="210"/>
      <c r="SQ12" s="210"/>
      <c r="SR12" s="210"/>
      <c r="SS12" s="210"/>
      <c r="ST12" s="210"/>
      <c r="SU12" s="210"/>
      <c r="SV12" s="210"/>
      <c r="SW12" s="210"/>
      <c r="SX12" s="210"/>
      <c r="SY12" s="210"/>
      <c r="SZ12" s="210"/>
      <c r="TA12" s="210"/>
      <c r="TB12" s="210"/>
      <c r="TC12" s="210"/>
      <c r="TD12" s="210"/>
      <c r="TE12" s="210"/>
      <c r="TF12" s="210"/>
      <c r="TG12" s="210"/>
      <c r="TH12" s="210"/>
      <c r="TI12" s="210"/>
      <c r="TJ12" s="210"/>
      <c r="TK12" s="210"/>
      <c r="TL12" s="210"/>
      <c r="TM12" s="210"/>
      <c r="TN12" s="210"/>
      <c r="TO12" s="210"/>
      <c r="TP12" s="210"/>
      <c r="TQ12" s="210"/>
      <c r="TR12" s="210"/>
      <c r="TS12" s="210"/>
      <c r="TT12" s="210"/>
      <c r="TU12" s="210"/>
      <c r="TV12" s="210"/>
      <c r="TW12" s="210"/>
      <c r="TX12" s="210"/>
      <c r="TY12" s="210"/>
      <c r="TZ12" s="210" t="s">
        <v>45</v>
      </c>
      <c r="UA12" s="210"/>
      <c r="UB12" s="210"/>
      <c r="UC12" s="210"/>
      <c r="UD12" s="210"/>
      <c r="UE12" s="210"/>
      <c r="UF12" s="210"/>
      <c r="UG12" s="210"/>
      <c r="UH12" s="210"/>
      <c r="UI12" s="210"/>
      <c r="UJ12" s="210"/>
      <c r="UK12" s="210"/>
      <c r="UL12" s="210"/>
      <c r="UM12" s="210"/>
      <c r="UN12" s="210"/>
      <c r="UO12" s="210"/>
      <c r="UP12" s="210"/>
      <c r="UQ12" s="210"/>
      <c r="UR12" s="210"/>
      <c r="US12" s="210"/>
      <c r="UT12" s="210"/>
      <c r="UU12" s="210"/>
      <c r="UV12" s="210"/>
      <c r="UW12" s="210"/>
      <c r="UX12" s="210"/>
      <c r="UY12" s="210"/>
      <c r="UZ12" s="210"/>
      <c r="VA12" s="210"/>
      <c r="VB12" s="210"/>
      <c r="VC12" s="210"/>
      <c r="VD12" s="210"/>
      <c r="VE12" s="210"/>
      <c r="VF12" s="210"/>
      <c r="VG12" s="210"/>
      <c r="VH12" s="210"/>
      <c r="VI12" s="210"/>
      <c r="VJ12" s="210"/>
      <c r="VK12" s="210"/>
      <c r="VL12" s="210"/>
      <c r="VM12" s="210"/>
      <c r="VN12" s="210"/>
      <c r="VO12" s="210"/>
      <c r="VP12" s="210"/>
      <c r="VQ12" s="210"/>
      <c r="VR12" s="210"/>
      <c r="VS12" s="210"/>
      <c r="VT12" s="210"/>
      <c r="VU12" s="210"/>
      <c r="VV12" s="210"/>
      <c r="VW12" s="210"/>
      <c r="VX12" s="210"/>
      <c r="VY12" s="210"/>
      <c r="VZ12" s="210"/>
      <c r="WA12" s="210"/>
      <c r="WB12" s="210"/>
      <c r="WC12" s="210"/>
      <c r="WD12" s="210"/>
      <c r="WE12" s="210"/>
      <c r="WF12" s="210"/>
      <c r="WG12" s="210"/>
      <c r="WH12" s="210" t="s">
        <v>44</v>
      </c>
      <c r="WI12" s="210"/>
      <c r="WJ12" s="210"/>
      <c r="WK12" s="210"/>
      <c r="WL12" s="210"/>
      <c r="WM12" s="210"/>
      <c r="WN12" s="210"/>
      <c r="WO12" s="210"/>
      <c r="WP12" s="210"/>
      <c r="WQ12" s="210"/>
      <c r="WR12" s="210"/>
      <c r="WS12" s="210"/>
      <c r="WT12" s="210"/>
      <c r="WU12" s="210"/>
      <c r="WV12" s="210"/>
      <c r="WW12" s="210"/>
      <c r="WX12" s="210"/>
      <c r="WY12" s="210"/>
      <c r="WZ12" s="210"/>
      <c r="XA12" s="210"/>
      <c r="XB12" s="210"/>
      <c r="XC12" s="210"/>
      <c r="XD12" s="210"/>
      <c r="XE12" s="210"/>
      <c r="XF12" s="210"/>
      <c r="XG12" s="210"/>
      <c r="XH12" s="210"/>
      <c r="XI12" s="210"/>
      <c r="XJ12" s="210"/>
      <c r="XK12" s="210"/>
      <c r="XL12" s="210"/>
      <c r="XM12" s="210"/>
      <c r="XN12" s="210"/>
      <c r="XO12" s="210"/>
      <c r="XP12" s="210"/>
      <c r="XQ12" s="210"/>
      <c r="XR12" s="210"/>
      <c r="XS12" s="210"/>
      <c r="XT12" s="210"/>
      <c r="XU12" s="210"/>
      <c r="XV12" s="210"/>
      <c r="XW12" s="210"/>
      <c r="XX12" s="210"/>
      <c r="XY12" s="210"/>
      <c r="XZ12" s="210"/>
      <c r="YA12" s="210"/>
      <c r="YB12" s="210"/>
      <c r="YC12" s="210"/>
      <c r="YD12" s="210"/>
      <c r="YE12" s="210"/>
      <c r="YF12" s="210"/>
      <c r="YG12" s="210"/>
      <c r="YH12" s="210"/>
      <c r="YI12" s="210"/>
      <c r="YJ12" s="210"/>
      <c r="YK12" s="210"/>
      <c r="YL12" s="210"/>
      <c r="YM12" s="210"/>
      <c r="YN12" s="210"/>
      <c r="YO12" s="210"/>
      <c r="YP12" s="210" t="s">
        <v>45</v>
      </c>
      <c r="YQ12" s="210"/>
      <c r="YR12" s="210"/>
      <c r="YS12" s="210"/>
      <c r="YT12" s="210"/>
      <c r="YU12" s="210"/>
      <c r="YV12" s="210"/>
      <c r="YW12" s="210"/>
      <c r="YX12" s="210"/>
      <c r="YY12" s="210"/>
      <c r="YZ12" s="210"/>
      <c r="ZA12" s="210"/>
      <c r="ZB12" s="210"/>
      <c r="ZC12" s="210"/>
      <c r="ZD12" s="210"/>
      <c r="ZE12" s="210"/>
      <c r="ZF12" s="210"/>
      <c r="ZG12" s="210"/>
      <c r="ZH12" s="210"/>
      <c r="ZI12" s="210"/>
      <c r="ZJ12" s="210"/>
      <c r="ZK12" s="210"/>
      <c r="ZL12" s="210"/>
      <c r="ZM12" s="210"/>
      <c r="ZN12" s="210"/>
      <c r="ZO12" s="210"/>
      <c r="ZP12" s="210"/>
      <c r="ZQ12" s="210"/>
      <c r="ZR12" s="210"/>
      <c r="ZS12" s="210"/>
      <c r="ZT12" s="210"/>
      <c r="ZU12" s="210"/>
      <c r="ZV12" s="210"/>
      <c r="ZW12" s="210"/>
      <c r="ZX12" s="210"/>
      <c r="ZY12" s="210"/>
      <c r="ZZ12" s="210"/>
      <c r="AAA12" s="210"/>
      <c r="AAB12" s="210"/>
      <c r="AAC12" s="210"/>
      <c r="AAD12" s="210"/>
      <c r="AAE12" s="210"/>
      <c r="AAF12" s="210"/>
      <c r="AAG12" s="210"/>
      <c r="AAH12" s="210"/>
      <c r="AAI12" s="210"/>
      <c r="AAJ12" s="210"/>
      <c r="AAK12" s="210"/>
      <c r="AAL12" s="210"/>
      <c r="AAM12" s="210"/>
      <c r="AAN12" s="210"/>
      <c r="AAO12" s="210"/>
      <c r="AAP12" s="210"/>
      <c r="AAQ12" s="210"/>
      <c r="AAR12" s="210"/>
      <c r="AAS12" s="210"/>
      <c r="AAT12" s="210"/>
      <c r="AAU12" s="210"/>
      <c r="AAV12" s="210"/>
      <c r="AAW12" s="210"/>
      <c r="AAX12" s="210" t="s">
        <v>44</v>
      </c>
      <c r="AAY12" s="210"/>
      <c r="AAZ12" s="210"/>
      <c r="ABA12" s="210"/>
      <c r="ABB12" s="210"/>
      <c r="ABC12" s="210"/>
      <c r="ABD12" s="210"/>
      <c r="ABE12" s="210"/>
      <c r="ABF12" s="210"/>
      <c r="ABG12" s="210"/>
      <c r="ABH12" s="210"/>
      <c r="ABI12" s="210"/>
      <c r="ABJ12" s="210"/>
      <c r="ABK12" s="210"/>
      <c r="ABL12" s="210"/>
      <c r="ABM12" s="210"/>
      <c r="ABN12" s="210"/>
      <c r="ABO12" s="210"/>
      <c r="ABP12" s="210"/>
      <c r="ABQ12" s="210"/>
      <c r="ABR12" s="210"/>
      <c r="ABS12" s="210"/>
      <c r="ABT12" s="210"/>
      <c r="ABU12" s="210"/>
      <c r="ABV12" s="210"/>
      <c r="ABW12" s="210"/>
      <c r="ABX12" s="210"/>
      <c r="ABY12" s="210"/>
      <c r="ABZ12" s="210"/>
      <c r="ACA12" s="210"/>
      <c r="ACB12" s="210"/>
      <c r="ACC12" s="210"/>
      <c r="ACD12" s="210"/>
      <c r="ACE12" s="210"/>
      <c r="ACF12" s="210"/>
      <c r="ACG12" s="210"/>
      <c r="ACH12" s="210"/>
      <c r="ACI12" s="210"/>
      <c r="ACJ12" s="210"/>
      <c r="ACK12" s="210"/>
      <c r="ACL12" s="210"/>
      <c r="ACM12" s="210"/>
      <c r="ACN12" s="210"/>
      <c r="ACO12" s="210"/>
      <c r="ACP12" s="210"/>
      <c r="ACQ12" s="210"/>
      <c r="ACR12" s="210"/>
      <c r="ACS12" s="210"/>
      <c r="ACT12" s="210"/>
      <c r="ACU12" s="210"/>
      <c r="ACV12" s="210"/>
      <c r="ACW12" s="210"/>
      <c r="ACX12" s="210"/>
      <c r="ACY12" s="210"/>
      <c r="ACZ12" s="210"/>
      <c r="ADA12" s="210"/>
      <c r="ADB12" s="210"/>
      <c r="ADC12" s="210"/>
      <c r="ADD12" s="210"/>
      <c r="ADE12" s="210"/>
      <c r="ADF12" s="210" t="s">
        <v>45</v>
      </c>
      <c r="ADG12" s="210"/>
      <c r="ADH12" s="210"/>
      <c r="ADI12" s="210"/>
      <c r="ADJ12" s="210"/>
      <c r="ADK12" s="210"/>
      <c r="ADL12" s="210"/>
      <c r="ADM12" s="210"/>
      <c r="ADN12" s="210"/>
      <c r="ADO12" s="210"/>
      <c r="ADP12" s="210"/>
      <c r="ADQ12" s="210"/>
      <c r="ADR12" s="210"/>
      <c r="ADS12" s="210"/>
      <c r="ADT12" s="210"/>
      <c r="ADU12" s="210"/>
      <c r="ADV12" s="210"/>
      <c r="ADW12" s="210"/>
      <c r="ADX12" s="210"/>
      <c r="ADY12" s="210"/>
      <c r="ADZ12" s="210"/>
      <c r="AEA12" s="210"/>
      <c r="AEB12" s="210"/>
      <c r="AEC12" s="210"/>
      <c r="AED12" s="210"/>
      <c r="AEE12" s="210"/>
      <c r="AEF12" s="210"/>
      <c r="AEG12" s="210"/>
      <c r="AEH12" s="210"/>
      <c r="AEI12" s="210"/>
      <c r="AEJ12" s="210"/>
      <c r="AEK12" s="210"/>
      <c r="AEL12" s="210"/>
      <c r="AEM12" s="210"/>
      <c r="AEN12" s="210"/>
      <c r="AEO12" s="210"/>
      <c r="AEP12" s="210"/>
      <c r="AEQ12" s="210"/>
      <c r="AER12" s="210"/>
      <c r="AES12" s="210"/>
      <c r="AET12" s="210"/>
      <c r="AEU12" s="210"/>
      <c r="AEV12" s="210"/>
      <c r="AEW12" s="210"/>
      <c r="AEX12" s="210"/>
      <c r="AEY12" s="210"/>
      <c r="AEZ12" s="210"/>
      <c r="AFA12" s="210"/>
      <c r="AFB12" s="210"/>
      <c r="AFC12" s="210"/>
      <c r="AFD12" s="210"/>
      <c r="AFE12" s="210"/>
      <c r="AFF12" s="210"/>
      <c r="AFG12" s="210"/>
      <c r="AFH12" s="210"/>
      <c r="AFI12" s="210"/>
      <c r="AFJ12" s="210"/>
      <c r="AFK12" s="210"/>
      <c r="AFL12" s="210"/>
      <c r="AFM12" s="210"/>
      <c r="AFN12" s="210" t="s">
        <v>44</v>
      </c>
      <c r="AFO12" s="210"/>
      <c r="AFP12" s="210"/>
      <c r="AFQ12" s="210"/>
      <c r="AFR12" s="210"/>
      <c r="AFS12" s="210"/>
      <c r="AFT12" s="210"/>
      <c r="AFU12" s="210"/>
      <c r="AFV12" s="210"/>
      <c r="AFW12" s="210"/>
      <c r="AFX12" s="210"/>
      <c r="AFY12" s="210"/>
      <c r="AFZ12" s="210"/>
      <c r="AGA12" s="210"/>
      <c r="AGB12" s="210"/>
      <c r="AGC12" s="210"/>
      <c r="AGD12" s="210"/>
      <c r="AGE12" s="210"/>
      <c r="AGF12" s="210"/>
      <c r="AGG12" s="210"/>
      <c r="AGH12" s="210"/>
      <c r="AGI12" s="210"/>
      <c r="AGJ12" s="210"/>
      <c r="AGK12" s="210"/>
      <c r="AGL12" s="210"/>
      <c r="AGM12" s="210"/>
      <c r="AGN12" s="210"/>
      <c r="AGO12" s="210"/>
      <c r="AGP12" s="210"/>
      <c r="AGQ12" s="210"/>
      <c r="AGR12" s="210"/>
      <c r="AGS12" s="210"/>
      <c r="AGT12" s="210"/>
      <c r="AGU12" s="210"/>
      <c r="AGV12" s="210"/>
      <c r="AGW12" s="210"/>
      <c r="AGX12" s="210"/>
      <c r="AGY12" s="210"/>
      <c r="AGZ12" s="210"/>
      <c r="AHA12" s="210"/>
      <c r="AHB12" s="210"/>
      <c r="AHC12" s="210"/>
      <c r="AHD12" s="210"/>
      <c r="AHE12" s="210"/>
      <c r="AHF12" s="210"/>
      <c r="AHG12" s="210"/>
      <c r="AHH12" s="210"/>
      <c r="AHI12" s="210"/>
      <c r="AHJ12" s="210"/>
      <c r="AHK12" s="210"/>
      <c r="AHL12" s="210"/>
      <c r="AHM12" s="210"/>
      <c r="AHN12" s="210"/>
      <c r="AHO12" s="210"/>
      <c r="AHP12" s="210"/>
      <c r="AHQ12" s="210"/>
      <c r="AHR12" s="210"/>
      <c r="AHS12" s="210"/>
      <c r="AHT12" s="210"/>
      <c r="AHU12" s="210"/>
      <c r="AHV12" s="210" t="s">
        <v>45</v>
      </c>
      <c r="AHW12" s="210"/>
      <c r="AHX12" s="210"/>
      <c r="AHY12" s="210"/>
      <c r="AHZ12" s="210"/>
      <c r="AIA12" s="210"/>
      <c r="AIB12" s="210"/>
      <c r="AIC12" s="210"/>
      <c r="AID12" s="210"/>
      <c r="AIE12" s="210"/>
      <c r="AIF12" s="210"/>
      <c r="AIG12" s="210"/>
      <c r="AIH12" s="210"/>
      <c r="AII12" s="210"/>
      <c r="AIJ12" s="210"/>
      <c r="AIK12" s="210"/>
      <c r="AIL12" s="210"/>
      <c r="AIM12" s="210"/>
      <c r="AIN12" s="210"/>
      <c r="AIO12" s="210"/>
      <c r="AIP12" s="210"/>
      <c r="AIQ12" s="210"/>
      <c r="AIR12" s="210"/>
      <c r="AIS12" s="210"/>
      <c r="AIT12" s="210"/>
      <c r="AIU12" s="210"/>
      <c r="AIV12" s="210"/>
      <c r="AIW12" s="210"/>
      <c r="AIX12" s="210"/>
      <c r="AIY12" s="210"/>
      <c r="AIZ12" s="210"/>
      <c r="AJA12" s="210"/>
      <c r="AJB12" s="210"/>
      <c r="AJC12" s="210"/>
      <c r="AJD12" s="210"/>
      <c r="AJE12" s="210"/>
      <c r="AJF12" s="210"/>
      <c r="AJG12" s="210"/>
      <c r="AJH12" s="210"/>
      <c r="AJI12" s="210"/>
      <c r="AJJ12" s="210"/>
      <c r="AJK12" s="210"/>
      <c r="AJL12" s="210"/>
      <c r="AJM12" s="210"/>
      <c r="AJN12" s="210"/>
      <c r="AJO12" s="210"/>
      <c r="AJP12" s="210"/>
      <c r="AJQ12" s="210"/>
      <c r="AJR12" s="210"/>
      <c r="AJS12" s="210"/>
      <c r="AJT12" s="210"/>
      <c r="AJU12" s="210"/>
      <c r="AJV12" s="210"/>
      <c r="AJW12" s="210"/>
      <c r="AJX12" s="210"/>
      <c r="AJY12" s="210"/>
      <c r="AJZ12" s="210"/>
      <c r="AKA12" s="210"/>
      <c r="AKB12" s="210"/>
      <c r="AKC12" s="210"/>
      <c r="AKD12" s="210" t="s">
        <v>44</v>
      </c>
      <c r="AKE12" s="210"/>
      <c r="AKF12" s="210"/>
      <c r="AKG12" s="210"/>
      <c r="AKH12" s="210"/>
      <c r="AKI12" s="210"/>
      <c r="AKJ12" s="210"/>
      <c r="AKK12" s="210"/>
      <c r="AKL12" s="210"/>
      <c r="AKM12" s="210"/>
      <c r="AKN12" s="210"/>
      <c r="AKO12" s="210"/>
      <c r="AKP12" s="210"/>
      <c r="AKQ12" s="210"/>
      <c r="AKR12" s="210"/>
      <c r="AKS12" s="210"/>
      <c r="AKT12" s="210"/>
      <c r="AKU12" s="210"/>
      <c r="AKV12" s="210"/>
      <c r="AKW12" s="210"/>
      <c r="AKX12" s="210"/>
      <c r="AKY12" s="210"/>
      <c r="AKZ12" s="210"/>
      <c r="ALA12" s="210"/>
      <c r="ALB12" s="210"/>
      <c r="ALC12" s="210"/>
      <c r="ALD12" s="210"/>
      <c r="ALE12" s="210"/>
      <c r="ALF12" s="210"/>
      <c r="ALG12" s="210"/>
      <c r="ALH12" s="210"/>
      <c r="ALI12" s="210"/>
      <c r="ALJ12" s="210"/>
      <c r="ALK12" s="210"/>
      <c r="ALL12" s="210"/>
      <c r="ALM12" s="210"/>
      <c r="ALN12" s="210"/>
      <c r="ALO12" s="210"/>
      <c r="ALP12" s="210"/>
      <c r="ALQ12" s="210"/>
      <c r="ALR12" s="210"/>
      <c r="ALS12" s="210"/>
      <c r="ALT12" s="210"/>
      <c r="ALU12" s="210"/>
      <c r="ALV12" s="210"/>
      <c r="ALW12" s="210"/>
      <c r="ALX12" s="210"/>
      <c r="ALY12" s="210"/>
      <c r="ALZ12" s="210"/>
      <c r="AMA12" s="210"/>
      <c r="AMB12" s="210"/>
      <c r="AMC12" s="210"/>
      <c r="AMD12" s="210"/>
      <c r="AME12" s="210"/>
      <c r="AMF12" s="210"/>
      <c r="AMG12" s="210"/>
      <c r="AMH12" s="210"/>
      <c r="AMI12" s="210"/>
      <c r="AMJ12" s="210"/>
      <c r="AMK12" s="210"/>
      <c r="AML12" s="210" t="s">
        <v>45</v>
      </c>
      <c r="AMM12" s="210"/>
      <c r="AMN12" s="210"/>
      <c r="AMO12" s="210"/>
      <c r="AMP12" s="210"/>
      <c r="AMQ12" s="210"/>
      <c r="AMR12" s="210"/>
      <c r="AMS12" s="210"/>
      <c r="AMT12" s="210"/>
      <c r="AMU12" s="210"/>
      <c r="AMV12" s="210"/>
      <c r="AMW12" s="210"/>
      <c r="AMX12" s="210"/>
      <c r="AMY12" s="210"/>
      <c r="AMZ12" s="210"/>
      <c r="ANA12" s="210"/>
      <c r="ANB12" s="210"/>
      <c r="ANC12" s="210"/>
      <c r="AND12" s="210"/>
      <c r="ANE12" s="210"/>
      <c r="ANF12" s="210"/>
      <c r="ANG12" s="210"/>
      <c r="ANH12" s="210"/>
      <c r="ANI12" s="210"/>
      <c r="ANJ12" s="210"/>
      <c r="ANK12" s="210"/>
      <c r="ANL12" s="210"/>
      <c r="ANM12" s="210"/>
      <c r="ANN12" s="210"/>
      <c r="ANO12" s="210"/>
      <c r="ANP12" s="210"/>
      <c r="ANQ12" s="210"/>
      <c r="ANR12" s="210"/>
      <c r="ANS12" s="210"/>
      <c r="ANT12" s="210"/>
      <c r="ANU12" s="210"/>
      <c r="ANV12" s="210"/>
      <c r="ANW12" s="210"/>
      <c r="ANX12" s="210"/>
      <c r="ANY12" s="210"/>
      <c r="ANZ12" s="210"/>
      <c r="AOA12" s="210"/>
      <c r="AOB12" s="210"/>
      <c r="AOC12" s="210"/>
      <c r="AOD12" s="210"/>
      <c r="AOE12" s="210"/>
      <c r="AOF12" s="210"/>
      <c r="AOG12" s="210"/>
      <c r="AOH12" s="210"/>
      <c r="AOI12" s="210"/>
      <c r="AOJ12" s="210"/>
      <c r="AOK12" s="210"/>
      <c r="AOL12" s="210"/>
      <c r="AOM12" s="210"/>
      <c r="AON12" s="210"/>
      <c r="AOO12" s="210"/>
      <c r="AOP12" s="210"/>
      <c r="AOQ12" s="210"/>
      <c r="AOR12" s="210"/>
      <c r="AOS12" s="210"/>
      <c r="AOT12" s="210" t="s">
        <v>45</v>
      </c>
      <c r="AOU12" s="210"/>
      <c r="AOV12" s="210"/>
      <c r="AOW12" s="210"/>
      <c r="AOX12" s="210"/>
      <c r="AOY12" s="210"/>
      <c r="AOZ12" s="210"/>
      <c r="APA12" s="210"/>
      <c r="APB12" s="210"/>
      <c r="APC12" s="210"/>
      <c r="APD12" s="210"/>
      <c r="APE12" s="210"/>
      <c r="APF12" s="210"/>
      <c r="APG12" s="210"/>
      <c r="APH12" s="210"/>
      <c r="API12" s="210"/>
      <c r="APJ12" s="210"/>
      <c r="APK12" s="210"/>
      <c r="APL12" s="210"/>
      <c r="APM12" s="210"/>
      <c r="APN12" s="210"/>
      <c r="APO12" s="210"/>
      <c r="APP12" s="210"/>
      <c r="APQ12" s="210"/>
      <c r="APR12" s="210"/>
      <c r="APS12" s="210"/>
      <c r="APT12" s="210"/>
      <c r="APU12" s="210"/>
      <c r="APV12" s="210"/>
      <c r="APW12" s="210"/>
      <c r="APX12" s="210"/>
      <c r="APY12" s="210"/>
      <c r="APZ12" s="210"/>
      <c r="AQA12" s="210"/>
      <c r="AQB12" s="210"/>
      <c r="AQC12" s="210"/>
      <c r="AQD12" s="210"/>
      <c r="AQE12" s="210"/>
      <c r="AQF12" s="210"/>
      <c r="AQG12" s="210"/>
      <c r="AQH12" s="210"/>
      <c r="AQI12" s="210"/>
      <c r="AQJ12" s="210"/>
      <c r="AQK12" s="210"/>
      <c r="AQL12" s="210"/>
      <c r="AQM12" s="210"/>
      <c r="AQN12" s="210"/>
      <c r="AQO12" s="210"/>
      <c r="AQP12" s="210"/>
      <c r="AQQ12" s="210"/>
      <c r="AQR12" s="210"/>
      <c r="AQS12" s="210"/>
      <c r="AQT12" s="210"/>
      <c r="AQU12" s="210"/>
      <c r="AQV12" s="210"/>
      <c r="AQW12" s="210"/>
      <c r="AQX12" s="210"/>
      <c r="AQY12" s="210"/>
      <c r="AQZ12" s="210"/>
      <c r="ARA12" s="210"/>
      <c r="ARB12" s="210" t="s">
        <v>44</v>
      </c>
      <c r="ARC12" s="210"/>
      <c r="ARD12" s="210"/>
      <c r="ARE12" s="210"/>
      <c r="ARF12" s="210"/>
      <c r="ARG12" s="210"/>
      <c r="ARH12" s="210"/>
      <c r="ARI12" s="210"/>
      <c r="ARJ12" s="210"/>
      <c r="ARK12" s="210"/>
      <c r="ARL12" s="210"/>
      <c r="ARM12" s="210"/>
      <c r="ARN12" s="210"/>
      <c r="ARO12" s="210"/>
      <c r="ARP12" s="210"/>
      <c r="ARQ12" s="210"/>
      <c r="ARR12" s="210"/>
      <c r="ARS12" s="210"/>
      <c r="ART12" s="210"/>
      <c r="ARU12" s="210"/>
      <c r="ARV12" s="210"/>
      <c r="ARW12" s="210"/>
      <c r="ARX12" s="210"/>
      <c r="ARY12" s="210"/>
      <c r="ARZ12" s="210"/>
      <c r="ASA12" s="210"/>
      <c r="ASB12" s="210"/>
      <c r="ASC12" s="210"/>
      <c r="ASD12" s="210"/>
      <c r="ASE12" s="210"/>
      <c r="ASF12" s="210"/>
      <c r="ASG12" s="210"/>
      <c r="ASH12" s="210"/>
      <c r="ASI12" s="210"/>
      <c r="ASJ12" s="210"/>
      <c r="ASK12" s="210"/>
      <c r="ASL12" s="210"/>
      <c r="ASM12" s="210"/>
      <c r="ASN12" s="210"/>
      <c r="ASO12" s="210"/>
      <c r="ASP12" s="210"/>
      <c r="ASQ12" s="210"/>
      <c r="ASR12" s="210"/>
      <c r="ASS12" s="210"/>
      <c r="AST12" s="210"/>
      <c r="ASU12" s="210"/>
      <c r="ASV12" s="210"/>
      <c r="ASW12" s="210"/>
      <c r="ASX12" s="210"/>
      <c r="ASY12" s="210"/>
      <c r="ASZ12" s="210"/>
      <c r="ATA12" s="210"/>
      <c r="ATB12" s="210"/>
      <c r="ATC12" s="210"/>
      <c r="ATD12" s="210"/>
      <c r="ATE12" s="210"/>
      <c r="ATF12" s="210"/>
      <c r="ATG12" s="210"/>
      <c r="ATH12" s="210"/>
      <c r="ATI12" s="210"/>
      <c r="ATJ12" s="210" t="s">
        <v>45</v>
      </c>
      <c r="ATK12" s="210"/>
      <c r="ATL12" s="210"/>
      <c r="ATM12" s="210"/>
      <c r="ATN12" s="210"/>
      <c r="ATO12" s="210"/>
      <c r="ATP12" s="210"/>
      <c r="ATQ12" s="210"/>
      <c r="ATR12" s="210"/>
      <c r="ATS12" s="210"/>
      <c r="ATT12" s="210"/>
      <c r="ATU12" s="210"/>
      <c r="ATV12" s="210"/>
      <c r="ATW12" s="210"/>
      <c r="ATX12" s="210"/>
      <c r="ATY12" s="210"/>
      <c r="ATZ12" s="210"/>
      <c r="AUA12" s="210"/>
      <c r="AUB12" s="210"/>
      <c r="AUC12" s="210"/>
      <c r="AUD12" s="210"/>
      <c r="AUE12" s="210"/>
      <c r="AUF12" s="210"/>
      <c r="AUG12" s="210"/>
      <c r="AUH12" s="210"/>
      <c r="AUI12" s="210"/>
      <c r="AUJ12" s="210"/>
      <c r="AUK12" s="210"/>
      <c r="AUL12" s="210"/>
      <c r="AUM12" s="210"/>
      <c r="AUN12" s="210"/>
      <c r="AUO12" s="210"/>
      <c r="AUP12" s="210"/>
      <c r="AUQ12" s="210"/>
      <c r="AUR12" s="210"/>
      <c r="AUS12" s="210"/>
      <c r="AUT12" s="210"/>
      <c r="AUU12" s="210"/>
      <c r="AUV12" s="210"/>
      <c r="AUW12" s="210"/>
      <c r="AUX12" s="210"/>
      <c r="AUY12" s="210"/>
      <c r="AUZ12" s="210"/>
      <c r="AVA12" s="210"/>
      <c r="AVB12" s="210"/>
      <c r="AVC12" s="210"/>
      <c r="AVD12" s="210"/>
      <c r="AVE12" s="210"/>
      <c r="AVF12" s="210"/>
      <c r="AVG12" s="210"/>
      <c r="AVH12" s="210"/>
      <c r="AVI12" s="210"/>
      <c r="AVJ12" s="210"/>
      <c r="AVK12" s="210"/>
      <c r="AVL12" s="210"/>
      <c r="AVM12" s="210"/>
      <c r="AVN12" s="210"/>
      <c r="AVO12" s="210"/>
      <c r="AVP12" s="210"/>
      <c r="AVQ12" s="210"/>
      <c r="AVR12" s="210" t="s">
        <v>45</v>
      </c>
      <c r="AVS12" s="210"/>
      <c r="AVT12" s="210"/>
      <c r="AVU12" s="210"/>
      <c r="AVV12" s="210"/>
      <c r="AVW12" s="210"/>
      <c r="AVX12" s="210"/>
      <c r="AVY12" s="210"/>
      <c r="AVZ12" s="210"/>
      <c r="AWA12" s="210"/>
      <c r="AWB12" s="210"/>
      <c r="AWC12" s="210"/>
      <c r="AWD12" s="210"/>
      <c r="AWE12" s="210"/>
      <c r="AWF12" s="210"/>
      <c r="AWG12" s="210"/>
      <c r="AWH12" s="210"/>
      <c r="AWI12" s="210"/>
      <c r="AWJ12" s="210"/>
      <c r="AWK12" s="210"/>
      <c r="AWL12" s="210"/>
      <c r="AWM12" s="210"/>
      <c r="AWN12" s="210"/>
      <c r="AWO12" s="210"/>
      <c r="AWP12" s="210"/>
      <c r="AWQ12" s="210"/>
      <c r="AWR12" s="210"/>
      <c r="AWS12" s="210"/>
      <c r="AWT12" s="210"/>
      <c r="AWU12" s="210"/>
      <c r="AWV12" s="210"/>
      <c r="AWW12" s="210"/>
      <c r="AWX12" s="210"/>
      <c r="AWY12" s="210"/>
      <c r="AWZ12" s="210"/>
      <c r="AXA12" s="210"/>
      <c r="AXB12" s="210"/>
      <c r="AXC12" s="210"/>
      <c r="AXD12" s="210"/>
      <c r="AXE12" s="210"/>
      <c r="AXF12" s="210"/>
      <c r="AXG12" s="210"/>
      <c r="AXH12" s="210"/>
      <c r="AXI12" s="210"/>
      <c r="AXJ12" s="210"/>
      <c r="AXK12" s="210"/>
      <c r="AXL12" s="210"/>
      <c r="AXM12" s="210"/>
      <c r="AXN12" s="210"/>
      <c r="AXO12" s="210"/>
      <c r="AXP12" s="210"/>
      <c r="AXQ12" s="210"/>
      <c r="AXR12" s="210"/>
      <c r="AXS12" s="210"/>
      <c r="AXT12" s="210"/>
      <c r="AXU12" s="210"/>
      <c r="AXV12" s="210"/>
      <c r="AXW12" s="210"/>
      <c r="AXX12" s="210"/>
      <c r="AXY12" s="210"/>
      <c r="AXZ12" s="210" t="s">
        <v>44</v>
      </c>
      <c r="AYA12" s="210"/>
      <c r="AYB12" s="210"/>
      <c r="AYC12" s="210"/>
      <c r="AYD12" s="210"/>
      <c r="AYE12" s="210"/>
      <c r="AYF12" s="210"/>
      <c r="AYG12" s="210"/>
      <c r="AYH12" s="210"/>
      <c r="AYI12" s="210"/>
      <c r="AYJ12" s="210"/>
      <c r="AYK12" s="210"/>
      <c r="AYL12" s="210"/>
      <c r="AYM12" s="210"/>
      <c r="AYN12" s="210"/>
      <c r="AYO12" s="210"/>
      <c r="AYP12" s="210"/>
      <c r="AYQ12" s="210"/>
      <c r="AYR12" s="210"/>
      <c r="AYS12" s="210"/>
      <c r="AYT12" s="210"/>
      <c r="AYU12" s="210"/>
      <c r="AYV12" s="210"/>
      <c r="AYW12" s="210"/>
      <c r="AYX12" s="210"/>
      <c r="AYY12" s="210"/>
      <c r="AYZ12" s="210"/>
      <c r="AZA12" s="210"/>
      <c r="AZB12" s="210"/>
      <c r="AZC12" s="210"/>
      <c r="AZD12" s="210"/>
      <c r="AZE12" s="210"/>
      <c r="AZF12" s="210"/>
      <c r="AZG12" s="210"/>
      <c r="AZH12" s="210"/>
      <c r="AZI12" s="210"/>
      <c r="AZJ12" s="210"/>
      <c r="AZK12" s="210"/>
      <c r="AZL12" s="210"/>
      <c r="AZM12" s="210"/>
      <c r="AZN12" s="210"/>
      <c r="AZO12" s="210"/>
      <c r="AZP12" s="210"/>
      <c r="AZQ12" s="210"/>
      <c r="AZR12" s="210"/>
      <c r="AZS12" s="210"/>
      <c r="AZT12" s="210"/>
      <c r="AZU12" s="210"/>
      <c r="AZV12" s="210"/>
      <c r="AZW12" s="210"/>
      <c r="AZX12" s="210"/>
      <c r="AZY12" s="210"/>
      <c r="AZZ12" s="210"/>
      <c r="BAA12" s="210"/>
      <c r="BAB12" s="210"/>
      <c r="BAC12" s="210"/>
      <c r="BAD12" s="210"/>
      <c r="BAE12" s="210"/>
      <c r="BAF12" s="210"/>
      <c r="BAG12" s="210"/>
      <c r="BAH12" s="210" t="s">
        <v>45</v>
      </c>
      <c r="BAI12" s="210"/>
      <c r="BAJ12" s="210"/>
      <c r="BAK12" s="210"/>
      <c r="BAL12" s="210"/>
      <c r="BAM12" s="210"/>
      <c r="BAN12" s="210"/>
      <c r="BAO12" s="210"/>
      <c r="BAP12" s="210"/>
      <c r="BAQ12" s="210"/>
      <c r="BAR12" s="210"/>
      <c r="BAS12" s="210"/>
      <c r="BAT12" s="210"/>
      <c r="BAU12" s="210"/>
      <c r="BAV12" s="210"/>
      <c r="BAW12" s="210"/>
      <c r="BAX12" s="210"/>
      <c r="BAY12" s="210"/>
      <c r="BAZ12" s="210"/>
      <c r="BBA12" s="210"/>
      <c r="BBB12" s="210"/>
      <c r="BBC12" s="210"/>
      <c r="BBD12" s="210"/>
      <c r="BBE12" s="210"/>
      <c r="BBF12" s="210"/>
      <c r="BBG12" s="210"/>
      <c r="BBH12" s="210"/>
      <c r="BBI12" s="210"/>
      <c r="BBJ12" s="210"/>
      <c r="BBK12" s="210"/>
      <c r="BBL12" s="210"/>
      <c r="BBM12" s="210"/>
      <c r="BBN12" s="210"/>
      <c r="BBO12" s="210"/>
      <c r="BBP12" s="210"/>
      <c r="BBQ12" s="210"/>
      <c r="BBR12" s="210"/>
      <c r="BBS12" s="210"/>
      <c r="BBT12" s="210"/>
      <c r="BBU12" s="210"/>
      <c r="BBV12" s="210"/>
      <c r="BBW12" s="210"/>
      <c r="BBX12" s="210"/>
      <c r="BBY12" s="210"/>
      <c r="BBZ12" s="210"/>
      <c r="BCA12" s="210"/>
      <c r="BCB12" s="210"/>
      <c r="BCC12" s="210"/>
      <c r="BCD12" s="210"/>
      <c r="BCE12" s="210"/>
      <c r="BCF12" s="210"/>
      <c r="BCG12" s="210"/>
      <c r="BCH12" s="210"/>
      <c r="BCI12" s="210"/>
      <c r="BCJ12" s="210"/>
      <c r="BCK12" s="210"/>
      <c r="BCL12" s="210"/>
      <c r="BCM12" s="210"/>
      <c r="BCN12" s="210"/>
      <c r="BCO12" s="210"/>
      <c r="BCP12" s="210" t="s">
        <v>44</v>
      </c>
      <c r="BCQ12" s="210"/>
      <c r="BCR12" s="210"/>
      <c r="BCS12" s="210"/>
      <c r="BCT12" s="210"/>
      <c r="BCU12" s="210"/>
      <c r="BCV12" s="210"/>
      <c r="BCW12" s="210"/>
      <c r="BCX12" s="210"/>
      <c r="BCY12" s="210"/>
      <c r="BCZ12" s="210"/>
      <c r="BDA12" s="210"/>
      <c r="BDB12" s="210"/>
      <c r="BDC12" s="210"/>
      <c r="BDD12" s="210"/>
      <c r="BDE12" s="210"/>
      <c r="BDF12" s="210"/>
      <c r="BDG12" s="210"/>
      <c r="BDH12" s="210"/>
      <c r="BDI12" s="210"/>
      <c r="BDJ12" s="210"/>
      <c r="BDK12" s="210"/>
      <c r="BDL12" s="210"/>
      <c r="BDM12" s="210"/>
      <c r="BDN12" s="210"/>
      <c r="BDO12" s="210"/>
      <c r="BDP12" s="210"/>
      <c r="BDQ12" s="210"/>
      <c r="BDR12" s="210"/>
      <c r="BDS12" s="210"/>
      <c r="BDT12" s="210"/>
      <c r="BDU12" s="210"/>
      <c r="BDV12" s="210"/>
      <c r="BDW12" s="210"/>
      <c r="BDX12" s="210"/>
      <c r="BDY12" s="210"/>
      <c r="BDZ12" s="210"/>
      <c r="BEA12" s="210"/>
      <c r="BEB12" s="210"/>
      <c r="BEC12" s="210"/>
      <c r="BED12" s="210"/>
      <c r="BEE12" s="210"/>
      <c r="BEF12" s="210"/>
      <c r="BEG12" s="210"/>
      <c r="BEH12" s="210"/>
      <c r="BEI12" s="210"/>
      <c r="BEJ12" s="210"/>
      <c r="BEK12" s="210"/>
      <c r="BEL12" s="210"/>
      <c r="BEM12" s="210"/>
      <c r="BEN12" s="210"/>
      <c r="BEO12" s="210"/>
      <c r="BEP12" s="210"/>
      <c r="BEQ12" s="210"/>
      <c r="BER12" s="210"/>
      <c r="BES12" s="210"/>
      <c r="BET12" s="210"/>
      <c r="BEU12" s="210"/>
      <c r="BEV12" s="210"/>
      <c r="BEW12" s="210"/>
      <c r="BEX12" s="210" t="s">
        <v>45</v>
      </c>
      <c r="BEY12" s="210"/>
      <c r="BEZ12" s="210"/>
      <c r="BFA12" s="210"/>
      <c r="BFB12" s="210"/>
      <c r="BFC12" s="210"/>
      <c r="BFD12" s="210"/>
      <c r="BFE12" s="210"/>
      <c r="BFF12" s="210"/>
      <c r="BFG12" s="210"/>
      <c r="BFH12" s="210"/>
      <c r="BFI12" s="210"/>
      <c r="BFJ12" s="210"/>
      <c r="BFK12" s="210"/>
      <c r="BFL12" s="210"/>
      <c r="BFM12" s="210"/>
      <c r="BFN12" s="210"/>
      <c r="BFO12" s="210"/>
      <c r="BFP12" s="210"/>
      <c r="BFQ12" s="210"/>
      <c r="BFR12" s="210"/>
      <c r="BFS12" s="210"/>
      <c r="BFT12" s="210"/>
      <c r="BFU12" s="210"/>
      <c r="BFV12" s="210"/>
      <c r="BFW12" s="210"/>
      <c r="BFX12" s="210"/>
      <c r="BFY12" s="210"/>
      <c r="BFZ12" s="210"/>
      <c r="BGA12" s="210"/>
      <c r="BGB12" s="210"/>
      <c r="BGC12" s="210"/>
      <c r="BGD12" s="210"/>
      <c r="BGE12" s="210"/>
      <c r="BGF12" s="210"/>
      <c r="BGG12" s="210"/>
      <c r="BGH12" s="210"/>
      <c r="BGI12" s="210"/>
      <c r="BGJ12" s="210"/>
      <c r="BGK12" s="210"/>
      <c r="BGL12" s="210"/>
      <c r="BGM12" s="210"/>
      <c r="BGN12" s="210"/>
      <c r="BGO12" s="210"/>
      <c r="BGP12" s="210"/>
      <c r="BGQ12" s="210"/>
      <c r="BGR12" s="210"/>
      <c r="BGS12" s="210"/>
      <c r="BGT12" s="210"/>
      <c r="BGU12" s="210"/>
      <c r="BGV12" s="210"/>
      <c r="BGW12" s="210"/>
      <c r="BGX12" s="210"/>
      <c r="BGY12" s="210"/>
      <c r="BGZ12" s="210"/>
      <c r="BHA12" s="210"/>
      <c r="BHB12" s="210"/>
      <c r="BHC12" s="210"/>
      <c r="BHD12" s="210"/>
      <c r="BHE12" s="210"/>
      <c r="BHF12" s="90"/>
    </row>
    <row r="13" spans="1:1866" ht="42.75" customHeight="1" thickBot="1" x14ac:dyDescent="0.3">
      <c r="B13" s="96"/>
      <c r="C13" s="226" t="s">
        <v>7</v>
      </c>
      <c r="D13" s="144"/>
      <c r="E13" s="228" t="s">
        <v>40</v>
      </c>
      <c r="F13" s="211" t="s">
        <v>8</v>
      </c>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2"/>
      <c r="BI13" s="212"/>
      <c r="BJ13" s="212"/>
      <c r="BK13" s="212"/>
      <c r="BL13" s="212"/>
      <c r="BM13" s="213"/>
      <c r="BN13" s="211" t="s">
        <v>28</v>
      </c>
      <c r="BO13" s="212"/>
      <c r="BP13" s="212"/>
      <c r="BQ13" s="212"/>
      <c r="BR13" s="212"/>
      <c r="BS13" s="212"/>
      <c r="BT13" s="212"/>
      <c r="BU13" s="212"/>
      <c r="BV13" s="212"/>
      <c r="BW13" s="212"/>
      <c r="BX13" s="212"/>
      <c r="BY13" s="212"/>
      <c r="BZ13" s="212"/>
      <c r="CA13" s="212"/>
      <c r="CB13" s="212"/>
      <c r="CC13" s="212"/>
      <c r="CD13" s="212"/>
      <c r="CE13" s="212"/>
      <c r="CF13" s="212"/>
      <c r="CG13" s="212"/>
      <c r="CH13" s="212"/>
      <c r="CI13" s="212"/>
      <c r="CJ13" s="212"/>
      <c r="CK13" s="212"/>
      <c r="CL13" s="212"/>
      <c r="CM13" s="212"/>
      <c r="CN13" s="212"/>
      <c r="CO13" s="212"/>
      <c r="CP13" s="212"/>
      <c r="CQ13" s="212"/>
      <c r="CR13" s="212"/>
      <c r="CS13" s="212"/>
      <c r="CT13" s="212"/>
      <c r="CU13" s="212"/>
      <c r="CV13" s="212"/>
      <c r="CW13" s="212"/>
      <c r="CX13" s="212"/>
      <c r="CY13" s="212"/>
      <c r="CZ13" s="212"/>
      <c r="DA13" s="212"/>
      <c r="DB13" s="212"/>
      <c r="DC13" s="212"/>
      <c r="DD13" s="212"/>
      <c r="DE13" s="212"/>
      <c r="DF13" s="212"/>
      <c r="DG13" s="212"/>
      <c r="DH13" s="212"/>
      <c r="DI13" s="212"/>
      <c r="DJ13" s="212"/>
      <c r="DK13" s="212"/>
      <c r="DL13" s="212"/>
      <c r="DM13" s="212"/>
      <c r="DN13" s="212"/>
      <c r="DO13" s="212"/>
      <c r="DP13" s="212"/>
      <c r="DQ13" s="212"/>
      <c r="DR13" s="212"/>
      <c r="DS13" s="212"/>
      <c r="DT13" s="212"/>
      <c r="DU13" s="213"/>
      <c r="DV13" s="211" t="s">
        <v>19</v>
      </c>
      <c r="DW13" s="212"/>
      <c r="DX13" s="212"/>
      <c r="DY13" s="212"/>
      <c r="DZ13" s="212"/>
      <c r="EA13" s="212"/>
      <c r="EB13" s="212"/>
      <c r="EC13" s="212"/>
      <c r="ED13" s="212"/>
      <c r="EE13" s="212"/>
      <c r="EF13" s="212"/>
      <c r="EG13" s="212"/>
      <c r="EH13" s="212"/>
      <c r="EI13" s="212"/>
      <c r="EJ13" s="212"/>
      <c r="EK13" s="212"/>
      <c r="EL13" s="212"/>
      <c r="EM13" s="212"/>
      <c r="EN13" s="212"/>
      <c r="EO13" s="212"/>
      <c r="EP13" s="212"/>
      <c r="EQ13" s="212"/>
      <c r="ER13" s="212"/>
      <c r="ES13" s="212"/>
      <c r="ET13" s="212"/>
      <c r="EU13" s="212"/>
      <c r="EV13" s="212"/>
      <c r="EW13" s="212"/>
      <c r="EX13" s="212"/>
      <c r="EY13" s="212"/>
      <c r="EZ13" s="212"/>
      <c r="FA13" s="212"/>
      <c r="FB13" s="212"/>
      <c r="FC13" s="212"/>
      <c r="FD13" s="212"/>
      <c r="FE13" s="212"/>
      <c r="FF13" s="212"/>
      <c r="FG13" s="212"/>
      <c r="FH13" s="212"/>
      <c r="FI13" s="212"/>
      <c r="FJ13" s="212"/>
      <c r="FK13" s="212"/>
      <c r="FL13" s="212"/>
      <c r="FM13" s="212"/>
      <c r="FN13" s="212"/>
      <c r="FO13" s="212"/>
      <c r="FP13" s="212"/>
      <c r="FQ13" s="212"/>
      <c r="FR13" s="212"/>
      <c r="FS13" s="212"/>
      <c r="FT13" s="212"/>
      <c r="FU13" s="212"/>
      <c r="FV13" s="212"/>
      <c r="FW13" s="212"/>
      <c r="FX13" s="212"/>
      <c r="FY13" s="212"/>
      <c r="FZ13" s="212"/>
      <c r="GA13" s="212"/>
      <c r="GB13" s="212"/>
      <c r="GC13" s="213"/>
      <c r="GD13" s="211" t="s">
        <v>43</v>
      </c>
      <c r="GE13" s="212"/>
      <c r="GF13" s="212"/>
      <c r="GG13" s="212"/>
      <c r="GH13" s="212"/>
      <c r="GI13" s="212"/>
      <c r="GJ13" s="212"/>
      <c r="GK13" s="212"/>
      <c r="GL13" s="212"/>
      <c r="GM13" s="212"/>
      <c r="GN13" s="212"/>
      <c r="GO13" s="212"/>
      <c r="GP13" s="212"/>
      <c r="GQ13" s="212"/>
      <c r="GR13" s="212"/>
      <c r="GS13" s="212"/>
      <c r="GT13" s="212"/>
      <c r="GU13" s="212"/>
      <c r="GV13" s="212"/>
      <c r="GW13" s="212"/>
      <c r="GX13" s="212"/>
      <c r="GY13" s="212"/>
      <c r="GZ13" s="212"/>
      <c r="HA13" s="212"/>
      <c r="HB13" s="212"/>
      <c r="HC13" s="212"/>
      <c r="HD13" s="212"/>
      <c r="HE13" s="212"/>
      <c r="HF13" s="212"/>
      <c r="HG13" s="212"/>
      <c r="HH13" s="212"/>
      <c r="HI13" s="212"/>
      <c r="HJ13" s="212"/>
      <c r="HK13" s="212"/>
      <c r="HL13" s="212"/>
      <c r="HM13" s="212"/>
      <c r="HN13" s="212"/>
      <c r="HO13" s="212"/>
      <c r="HP13" s="212"/>
      <c r="HQ13" s="212"/>
      <c r="HR13" s="212"/>
      <c r="HS13" s="212"/>
      <c r="HT13" s="212"/>
      <c r="HU13" s="212"/>
      <c r="HV13" s="212"/>
      <c r="HW13" s="212"/>
      <c r="HX13" s="212"/>
      <c r="HY13" s="212"/>
      <c r="HZ13" s="212"/>
      <c r="IA13" s="212"/>
      <c r="IB13" s="212"/>
      <c r="IC13" s="212"/>
      <c r="ID13" s="212"/>
      <c r="IE13" s="212"/>
      <c r="IF13" s="212"/>
      <c r="IG13" s="212"/>
      <c r="IH13" s="212"/>
      <c r="II13" s="212"/>
      <c r="IJ13" s="212"/>
      <c r="IK13" s="213"/>
      <c r="IL13" s="211" t="s">
        <v>72</v>
      </c>
      <c r="IM13" s="212"/>
      <c r="IN13" s="212"/>
      <c r="IO13" s="212"/>
      <c r="IP13" s="212"/>
      <c r="IQ13" s="212"/>
      <c r="IR13" s="212"/>
      <c r="IS13" s="212"/>
      <c r="IT13" s="212"/>
      <c r="IU13" s="212"/>
      <c r="IV13" s="212"/>
      <c r="IW13" s="212"/>
      <c r="IX13" s="212"/>
      <c r="IY13" s="212"/>
      <c r="IZ13" s="212"/>
      <c r="JA13" s="212"/>
      <c r="JB13" s="212"/>
      <c r="JC13" s="212"/>
      <c r="JD13" s="212"/>
      <c r="JE13" s="212"/>
      <c r="JF13" s="212"/>
      <c r="JG13" s="212"/>
      <c r="JH13" s="212"/>
      <c r="JI13" s="212"/>
      <c r="JJ13" s="212"/>
      <c r="JK13" s="212"/>
      <c r="JL13" s="212"/>
      <c r="JM13" s="212"/>
      <c r="JN13" s="212"/>
      <c r="JO13" s="212"/>
      <c r="JP13" s="212"/>
      <c r="JQ13" s="212"/>
      <c r="JR13" s="212"/>
      <c r="JS13" s="212"/>
      <c r="JT13" s="212"/>
      <c r="JU13" s="212"/>
      <c r="JV13" s="212"/>
      <c r="JW13" s="212"/>
      <c r="JX13" s="212"/>
      <c r="JY13" s="212"/>
      <c r="JZ13" s="212"/>
      <c r="KA13" s="212"/>
      <c r="KB13" s="212"/>
      <c r="KC13" s="212"/>
      <c r="KD13" s="212"/>
      <c r="KE13" s="212"/>
      <c r="KF13" s="212"/>
      <c r="KG13" s="212"/>
      <c r="KH13" s="212"/>
      <c r="KI13" s="212"/>
      <c r="KJ13" s="212"/>
      <c r="KK13" s="212"/>
      <c r="KL13" s="212"/>
      <c r="KM13" s="212"/>
      <c r="KN13" s="212"/>
      <c r="KO13" s="212"/>
      <c r="KP13" s="212"/>
      <c r="KQ13" s="212"/>
      <c r="KR13" s="212"/>
      <c r="KS13" s="213"/>
      <c r="KT13" s="211" t="s">
        <v>71</v>
      </c>
      <c r="KU13" s="212"/>
      <c r="KV13" s="212"/>
      <c r="KW13" s="212"/>
      <c r="KX13" s="212"/>
      <c r="KY13" s="212"/>
      <c r="KZ13" s="212"/>
      <c r="LA13" s="212"/>
      <c r="LB13" s="212"/>
      <c r="LC13" s="212"/>
      <c r="LD13" s="212"/>
      <c r="LE13" s="212"/>
      <c r="LF13" s="212"/>
      <c r="LG13" s="212"/>
      <c r="LH13" s="212"/>
      <c r="LI13" s="212"/>
      <c r="LJ13" s="212"/>
      <c r="LK13" s="212"/>
      <c r="LL13" s="212"/>
      <c r="LM13" s="212"/>
      <c r="LN13" s="212"/>
      <c r="LO13" s="212"/>
      <c r="LP13" s="212"/>
      <c r="LQ13" s="212"/>
      <c r="LR13" s="212"/>
      <c r="LS13" s="212"/>
      <c r="LT13" s="212"/>
      <c r="LU13" s="212"/>
      <c r="LV13" s="212"/>
      <c r="LW13" s="212"/>
      <c r="LX13" s="212"/>
      <c r="LY13" s="212"/>
      <c r="LZ13" s="212"/>
      <c r="MA13" s="212"/>
      <c r="MB13" s="212"/>
      <c r="MC13" s="212"/>
      <c r="MD13" s="212"/>
      <c r="ME13" s="212"/>
      <c r="MF13" s="212"/>
      <c r="MG13" s="212"/>
      <c r="MH13" s="212"/>
      <c r="MI13" s="212"/>
      <c r="MJ13" s="212"/>
      <c r="MK13" s="212"/>
      <c r="ML13" s="212"/>
      <c r="MM13" s="212"/>
      <c r="MN13" s="212"/>
      <c r="MO13" s="212"/>
      <c r="MP13" s="212"/>
      <c r="MQ13" s="212"/>
      <c r="MR13" s="212"/>
      <c r="MS13" s="212"/>
      <c r="MT13" s="212"/>
      <c r="MU13" s="212"/>
      <c r="MV13" s="212"/>
      <c r="MW13" s="212"/>
      <c r="MX13" s="212"/>
      <c r="MY13" s="212"/>
      <c r="MZ13" s="212"/>
      <c r="NA13" s="213"/>
      <c r="NB13" s="211" t="s">
        <v>70</v>
      </c>
      <c r="NC13" s="212"/>
      <c r="ND13" s="212"/>
      <c r="NE13" s="212"/>
      <c r="NF13" s="212"/>
      <c r="NG13" s="212"/>
      <c r="NH13" s="212"/>
      <c r="NI13" s="212"/>
      <c r="NJ13" s="212"/>
      <c r="NK13" s="212"/>
      <c r="NL13" s="212"/>
      <c r="NM13" s="212"/>
      <c r="NN13" s="212"/>
      <c r="NO13" s="212"/>
      <c r="NP13" s="212"/>
      <c r="NQ13" s="212"/>
      <c r="NR13" s="212"/>
      <c r="NS13" s="212"/>
      <c r="NT13" s="212"/>
      <c r="NU13" s="212"/>
      <c r="NV13" s="212"/>
      <c r="NW13" s="212"/>
      <c r="NX13" s="212"/>
      <c r="NY13" s="212"/>
      <c r="NZ13" s="212"/>
      <c r="OA13" s="212"/>
      <c r="OB13" s="212"/>
      <c r="OC13" s="212"/>
      <c r="OD13" s="212"/>
      <c r="OE13" s="212"/>
      <c r="OF13" s="212"/>
      <c r="OG13" s="212"/>
      <c r="OH13" s="212"/>
      <c r="OI13" s="212"/>
      <c r="OJ13" s="212"/>
      <c r="OK13" s="212"/>
      <c r="OL13" s="212"/>
      <c r="OM13" s="212"/>
      <c r="ON13" s="212"/>
      <c r="OO13" s="212"/>
      <c r="OP13" s="212"/>
      <c r="OQ13" s="212"/>
      <c r="OR13" s="212"/>
      <c r="OS13" s="212"/>
      <c r="OT13" s="212"/>
      <c r="OU13" s="212"/>
      <c r="OV13" s="212"/>
      <c r="OW13" s="212"/>
      <c r="OX13" s="212"/>
      <c r="OY13" s="212"/>
      <c r="OZ13" s="212"/>
      <c r="PA13" s="212"/>
      <c r="PB13" s="212"/>
      <c r="PC13" s="212"/>
      <c r="PD13" s="212"/>
      <c r="PE13" s="212"/>
      <c r="PF13" s="212"/>
      <c r="PG13" s="212"/>
      <c r="PH13" s="212"/>
      <c r="PI13" s="213"/>
      <c r="PJ13" s="211" t="s">
        <v>69</v>
      </c>
      <c r="PK13" s="212"/>
      <c r="PL13" s="212"/>
      <c r="PM13" s="212"/>
      <c r="PN13" s="212"/>
      <c r="PO13" s="212"/>
      <c r="PP13" s="212"/>
      <c r="PQ13" s="212"/>
      <c r="PR13" s="212"/>
      <c r="PS13" s="212"/>
      <c r="PT13" s="212"/>
      <c r="PU13" s="212"/>
      <c r="PV13" s="212"/>
      <c r="PW13" s="212"/>
      <c r="PX13" s="212"/>
      <c r="PY13" s="212"/>
      <c r="PZ13" s="212"/>
      <c r="QA13" s="212"/>
      <c r="QB13" s="212"/>
      <c r="QC13" s="212"/>
      <c r="QD13" s="212"/>
      <c r="QE13" s="212"/>
      <c r="QF13" s="212"/>
      <c r="QG13" s="212"/>
      <c r="QH13" s="212"/>
      <c r="QI13" s="212"/>
      <c r="QJ13" s="212"/>
      <c r="QK13" s="212"/>
      <c r="QL13" s="212"/>
      <c r="QM13" s="212"/>
      <c r="QN13" s="212"/>
      <c r="QO13" s="212"/>
      <c r="QP13" s="212"/>
      <c r="QQ13" s="212"/>
      <c r="QR13" s="212"/>
      <c r="QS13" s="212"/>
      <c r="QT13" s="212"/>
      <c r="QU13" s="212"/>
      <c r="QV13" s="212"/>
      <c r="QW13" s="212"/>
      <c r="QX13" s="212"/>
      <c r="QY13" s="212"/>
      <c r="QZ13" s="212"/>
      <c r="RA13" s="212"/>
      <c r="RB13" s="212"/>
      <c r="RC13" s="212"/>
      <c r="RD13" s="212"/>
      <c r="RE13" s="212"/>
      <c r="RF13" s="212"/>
      <c r="RG13" s="212"/>
      <c r="RH13" s="212"/>
      <c r="RI13" s="212"/>
      <c r="RJ13" s="212"/>
      <c r="RK13" s="212"/>
      <c r="RL13" s="212"/>
      <c r="RM13" s="212"/>
      <c r="RN13" s="212"/>
      <c r="RO13" s="212"/>
      <c r="RP13" s="212"/>
      <c r="RQ13" s="213"/>
      <c r="RR13" s="211" t="s">
        <v>68</v>
      </c>
      <c r="RS13" s="212"/>
      <c r="RT13" s="212"/>
      <c r="RU13" s="212"/>
      <c r="RV13" s="212"/>
      <c r="RW13" s="212"/>
      <c r="RX13" s="212"/>
      <c r="RY13" s="212"/>
      <c r="RZ13" s="212"/>
      <c r="SA13" s="212"/>
      <c r="SB13" s="212"/>
      <c r="SC13" s="212"/>
      <c r="SD13" s="212"/>
      <c r="SE13" s="212"/>
      <c r="SF13" s="212"/>
      <c r="SG13" s="212"/>
      <c r="SH13" s="212"/>
      <c r="SI13" s="212"/>
      <c r="SJ13" s="212"/>
      <c r="SK13" s="212"/>
      <c r="SL13" s="212"/>
      <c r="SM13" s="212"/>
      <c r="SN13" s="212"/>
      <c r="SO13" s="212"/>
      <c r="SP13" s="212"/>
      <c r="SQ13" s="212"/>
      <c r="SR13" s="212"/>
      <c r="SS13" s="212"/>
      <c r="ST13" s="212"/>
      <c r="SU13" s="212"/>
      <c r="SV13" s="212"/>
      <c r="SW13" s="212"/>
      <c r="SX13" s="212"/>
      <c r="SY13" s="212"/>
      <c r="SZ13" s="212"/>
      <c r="TA13" s="212"/>
      <c r="TB13" s="212"/>
      <c r="TC13" s="212"/>
      <c r="TD13" s="212"/>
      <c r="TE13" s="212"/>
      <c r="TF13" s="212"/>
      <c r="TG13" s="212"/>
      <c r="TH13" s="212"/>
      <c r="TI13" s="212"/>
      <c r="TJ13" s="212"/>
      <c r="TK13" s="212"/>
      <c r="TL13" s="212"/>
      <c r="TM13" s="212"/>
      <c r="TN13" s="212"/>
      <c r="TO13" s="212"/>
      <c r="TP13" s="212"/>
      <c r="TQ13" s="212"/>
      <c r="TR13" s="212"/>
      <c r="TS13" s="212"/>
      <c r="TT13" s="212"/>
      <c r="TU13" s="212"/>
      <c r="TV13" s="212"/>
      <c r="TW13" s="212"/>
      <c r="TX13" s="212"/>
      <c r="TY13" s="213"/>
      <c r="TZ13" s="211" t="s">
        <v>67</v>
      </c>
      <c r="UA13" s="212"/>
      <c r="UB13" s="212"/>
      <c r="UC13" s="212"/>
      <c r="UD13" s="212"/>
      <c r="UE13" s="212"/>
      <c r="UF13" s="212"/>
      <c r="UG13" s="212"/>
      <c r="UH13" s="212"/>
      <c r="UI13" s="212"/>
      <c r="UJ13" s="212"/>
      <c r="UK13" s="212"/>
      <c r="UL13" s="212"/>
      <c r="UM13" s="212"/>
      <c r="UN13" s="212"/>
      <c r="UO13" s="212"/>
      <c r="UP13" s="212"/>
      <c r="UQ13" s="212"/>
      <c r="UR13" s="212"/>
      <c r="US13" s="212"/>
      <c r="UT13" s="212"/>
      <c r="UU13" s="212"/>
      <c r="UV13" s="212"/>
      <c r="UW13" s="212"/>
      <c r="UX13" s="212"/>
      <c r="UY13" s="212"/>
      <c r="UZ13" s="212"/>
      <c r="VA13" s="212"/>
      <c r="VB13" s="212"/>
      <c r="VC13" s="212"/>
      <c r="VD13" s="212"/>
      <c r="VE13" s="212"/>
      <c r="VF13" s="212"/>
      <c r="VG13" s="212"/>
      <c r="VH13" s="212"/>
      <c r="VI13" s="212"/>
      <c r="VJ13" s="212"/>
      <c r="VK13" s="212"/>
      <c r="VL13" s="212"/>
      <c r="VM13" s="212"/>
      <c r="VN13" s="212"/>
      <c r="VO13" s="212"/>
      <c r="VP13" s="212"/>
      <c r="VQ13" s="212"/>
      <c r="VR13" s="212"/>
      <c r="VS13" s="212"/>
      <c r="VT13" s="212"/>
      <c r="VU13" s="212"/>
      <c r="VV13" s="212"/>
      <c r="VW13" s="212"/>
      <c r="VX13" s="212"/>
      <c r="VY13" s="212"/>
      <c r="VZ13" s="212"/>
      <c r="WA13" s="212"/>
      <c r="WB13" s="212"/>
      <c r="WC13" s="212"/>
      <c r="WD13" s="212"/>
      <c r="WE13" s="212"/>
      <c r="WF13" s="212"/>
      <c r="WG13" s="213"/>
      <c r="WH13" s="211" t="s">
        <v>66</v>
      </c>
      <c r="WI13" s="212"/>
      <c r="WJ13" s="212"/>
      <c r="WK13" s="212"/>
      <c r="WL13" s="212"/>
      <c r="WM13" s="212"/>
      <c r="WN13" s="212"/>
      <c r="WO13" s="212"/>
      <c r="WP13" s="212"/>
      <c r="WQ13" s="212"/>
      <c r="WR13" s="212"/>
      <c r="WS13" s="212"/>
      <c r="WT13" s="212"/>
      <c r="WU13" s="212"/>
      <c r="WV13" s="212"/>
      <c r="WW13" s="212"/>
      <c r="WX13" s="212"/>
      <c r="WY13" s="212"/>
      <c r="WZ13" s="212"/>
      <c r="XA13" s="212"/>
      <c r="XB13" s="212"/>
      <c r="XC13" s="212"/>
      <c r="XD13" s="212"/>
      <c r="XE13" s="212"/>
      <c r="XF13" s="212"/>
      <c r="XG13" s="212"/>
      <c r="XH13" s="212"/>
      <c r="XI13" s="212"/>
      <c r="XJ13" s="212"/>
      <c r="XK13" s="212"/>
      <c r="XL13" s="212"/>
      <c r="XM13" s="212"/>
      <c r="XN13" s="212"/>
      <c r="XO13" s="212"/>
      <c r="XP13" s="212"/>
      <c r="XQ13" s="212"/>
      <c r="XR13" s="212"/>
      <c r="XS13" s="212"/>
      <c r="XT13" s="212"/>
      <c r="XU13" s="212"/>
      <c r="XV13" s="212"/>
      <c r="XW13" s="212"/>
      <c r="XX13" s="212"/>
      <c r="XY13" s="212"/>
      <c r="XZ13" s="212"/>
      <c r="YA13" s="212"/>
      <c r="YB13" s="212"/>
      <c r="YC13" s="212"/>
      <c r="YD13" s="212"/>
      <c r="YE13" s="212"/>
      <c r="YF13" s="212"/>
      <c r="YG13" s="212"/>
      <c r="YH13" s="212"/>
      <c r="YI13" s="212"/>
      <c r="YJ13" s="212"/>
      <c r="YK13" s="212"/>
      <c r="YL13" s="212"/>
      <c r="YM13" s="212"/>
      <c r="YN13" s="212"/>
      <c r="YO13" s="213"/>
      <c r="YP13" s="211" t="s">
        <v>65</v>
      </c>
      <c r="YQ13" s="212"/>
      <c r="YR13" s="212"/>
      <c r="YS13" s="212"/>
      <c r="YT13" s="212"/>
      <c r="YU13" s="212"/>
      <c r="YV13" s="212"/>
      <c r="YW13" s="212"/>
      <c r="YX13" s="212"/>
      <c r="YY13" s="212"/>
      <c r="YZ13" s="212"/>
      <c r="ZA13" s="212"/>
      <c r="ZB13" s="212"/>
      <c r="ZC13" s="212"/>
      <c r="ZD13" s="212"/>
      <c r="ZE13" s="212"/>
      <c r="ZF13" s="212"/>
      <c r="ZG13" s="212"/>
      <c r="ZH13" s="212"/>
      <c r="ZI13" s="212"/>
      <c r="ZJ13" s="212"/>
      <c r="ZK13" s="212"/>
      <c r="ZL13" s="212"/>
      <c r="ZM13" s="212"/>
      <c r="ZN13" s="212"/>
      <c r="ZO13" s="212"/>
      <c r="ZP13" s="212"/>
      <c r="ZQ13" s="212"/>
      <c r="ZR13" s="212"/>
      <c r="ZS13" s="212"/>
      <c r="ZT13" s="212"/>
      <c r="ZU13" s="212"/>
      <c r="ZV13" s="212"/>
      <c r="ZW13" s="212"/>
      <c r="ZX13" s="212"/>
      <c r="ZY13" s="212"/>
      <c r="ZZ13" s="212"/>
      <c r="AAA13" s="212"/>
      <c r="AAB13" s="212"/>
      <c r="AAC13" s="212"/>
      <c r="AAD13" s="212"/>
      <c r="AAE13" s="212"/>
      <c r="AAF13" s="212"/>
      <c r="AAG13" s="212"/>
      <c r="AAH13" s="212"/>
      <c r="AAI13" s="212"/>
      <c r="AAJ13" s="212"/>
      <c r="AAK13" s="212"/>
      <c r="AAL13" s="212"/>
      <c r="AAM13" s="212"/>
      <c r="AAN13" s="212"/>
      <c r="AAO13" s="212"/>
      <c r="AAP13" s="212"/>
      <c r="AAQ13" s="212"/>
      <c r="AAR13" s="212"/>
      <c r="AAS13" s="212"/>
      <c r="AAT13" s="212"/>
      <c r="AAU13" s="212"/>
      <c r="AAV13" s="212"/>
      <c r="AAW13" s="213"/>
      <c r="AAX13" s="211" t="s">
        <v>64</v>
      </c>
      <c r="AAY13" s="212"/>
      <c r="AAZ13" s="212"/>
      <c r="ABA13" s="212"/>
      <c r="ABB13" s="212"/>
      <c r="ABC13" s="212"/>
      <c r="ABD13" s="212"/>
      <c r="ABE13" s="212"/>
      <c r="ABF13" s="212"/>
      <c r="ABG13" s="212"/>
      <c r="ABH13" s="212"/>
      <c r="ABI13" s="212"/>
      <c r="ABJ13" s="212"/>
      <c r="ABK13" s="212"/>
      <c r="ABL13" s="212"/>
      <c r="ABM13" s="212"/>
      <c r="ABN13" s="212"/>
      <c r="ABO13" s="212"/>
      <c r="ABP13" s="212"/>
      <c r="ABQ13" s="212"/>
      <c r="ABR13" s="212"/>
      <c r="ABS13" s="212"/>
      <c r="ABT13" s="212"/>
      <c r="ABU13" s="212"/>
      <c r="ABV13" s="212"/>
      <c r="ABW13" s="212"/>
      <c r="ABX13" s="212"/>
      <c r="ABY13" s="212"/>
      <c r="ABZ13" s="212"/>
      <c r="ACA13" s="212"/>
      <c r="ACB13" s="212"/>
      <c r="ACC13" s="212"/>
      <c r="ACD13" s="212"/>
      <c r="ACE13" s="212"/>
      <c r="ACF13" s="212"/>
      <c r="ACG13" s="212"/>
      <c r="ACH13" s="212"/>
      <c r="ACI13" s="212"/>
      <c r="ACJ13" s="212"/>
      <c r="ACK13" s="212"/>
      <c r="ACL13" s="212"/>
      <c r="ACM13" s="212"/>
      <c r="ACN13" s="212"/>
      <c r="ACO13" s="212"/>
      <c r="ACP13" s="212"/>
      <c r="ACQ13" s="212"/>
      <c r="ACR13" s="212"/>
      <c r="ACS13" s="212"/>
      <c r="ACT13" s="212"/>
      <c r="ACU13" s="212"/>
      <c r="ACV13" s="212"/>
      <c r="ACW13" s="212"/>
      <c r="ACX13" s="212"/>
      <c r="ACY13" s="212"/>
      <c r="ACZ13" s="212"/>
      <c r="ADA13" s="212"/>
      <c r="ADB13" s="212"/>
      <c r="ADC13" s="212"/>
      <c r="ADD13" s="212"/>
      <c r="ADE13" s="213"/>
      <c r="ADF13" s="211" t="s">
        <v>63</v>
      </c>
      <c r="ADG13" s="212"/>
      <c r="ADH13" s="212"/>
      <c r="ADI13" s="212"/>
      <c r="ADJ13" s="212"/>
      <c r="ADK13" s="212"/>
      <c r="ADL13" s="212"/>
      <c r="ADM13" s="212"/>
      <c r="ADN13" s="212"/>
      <c r="ADO13" s="212"/>
      <c r="ADP13" s="212"/>
      <c r="ADQ13" s="212"/>
      <c r="ADR13" s="212"/>
      <c r="ADS13" s="212"/>
      <c r="ADT13" s="212"/>
      <c r="ADU13" s="212"/>
      <c r="ADV13" s="212"/>
      <c r="ADW13" s="212"/>
      <c r="ADX13" s="212"/>
      <c r="ADY13" s="212"/>
      <c r="ADZ13" s="212"/>
      <c r="AEA13" s="212"/>
      <c r="AEB13" s="212"/>
      <c r="AEC13" s="212"/>
      <c r="AED13" s="212"/>
      <c r="AEE13" s="212"/>
      <c r="AEF13" s="212"/>
      <c r="AEG13" s="212"/>
      <c r="AEH13" s="212"/>
      <c r="AEI13" s="212"/>
      <c r="AEJ13" s="212"/>
      <c r="AEK13" s="212"/>
      <c r="AEL13" s="212"/>
      <c r="AEM13" s="212"/>
      <c r="AEN13" s="212"/>
      <c r="AEO13" s="212"/>
      <c r="AEP13" s="212"/>
      <c r="AEQ13" s="212"/>
      <c r="AER13" s="212"/>
      <c r="AES13" s="212"/>
      <c r="AET13" s="212"/>
      <c r="AEU13" s="212"/>
      <c r="AEV13" s="212"/>
      <c r="AEW13" s="212"/>
      <c r="AEX13" s="212"/>
      <c r="AEY13" s="212"/>
      <c r="AEZ13" s="212"/>
      <c r="AFA13" s="212"/>
      <c r="AFB13" s="212"/>
      <c r="AFC13" s="212"/>
      <c r="AFD13" s="212"/>
      <c r="AFE13" s="212"/>
      <c r="AFF13" s="212"/>
      <c r="AFG13" s="212"/>
      <c r="AFH13" s="212"/>
      <c r="AFI13" s="212"/>
      <c r="AFJ13" s="212"/>
      <c r="AFK13" s="212"/>
      <c r="AFL13" s="212"/>
      <c r="AFM13" s="213"/>
      <c r="AFN13" s="211" t="s">
        <v>62</v>
      </c>
      <c r="AFO13" s="212"/>
      <c r="AFP13" s="212"/>
      <c r="AFQ13" s="212"/>
      <c r="AFR13" s="212"/>
      <c r="AFS13" s="212"/>
      <c r="AFT13" s="212"/>
      <c r="AFU13" s="212"/>
      <c r="AFV13" s="212"/>
      <c r="AFW13" s="212"/>
      <c r="AFX13" s="212"/>
      <c r="AFY13" s="212"/>
      <c r="AFZ13" s="212"/>
      <c r="AGA13" s="212"/>
      <c r="AGB13" s="212"/>
      <c r="AGC13" s="212"/>
      <c r="AGD13" s="212"/>
      <c r="AGE13" s="212"/>
      <c r="AGF13" s="212"/>
      <c r="AGG13" s="212"/>
      <c r="AGH13" s="212"/>
      <c r="AGI13" s="212"/>
      <c r="AGJ13" s="212"/>
      <c r="AGK13" s="212"/>
      <c r="AGL13" s="212"/>
      <c r="AGM13" s="212"/>
      <c r="AGN13" s="212"/>
      <c r="AGO13" s="212"/>
      <c r="AGP13" s="212"/>
      <c r="AGQ13" s="212"/>
      <c r="AGR13" s="212"/>
      <c r="AGS13" s="212"/>
      <c r="AGT13" s="212"/>
      <c r="AGU13" s="212"/>
      <c r="AGV13" s="212"/>
      <c r="AGW13" s="212"/>
      <c r="AGX13" s="212"/>
      <c r="AGY13" s="212"/>
      <c r="AGZ13" s="212"/>
      <c r="AHA13" s="212"/>
      <c r="AHB13" s="212"/>
      <c r="AHC13" s="212"/>
      <c r="AHD13" s="212"/>
      <c r="AHE13" s="212"/>
      <c r="AHF13" s="212"/>
      <c r="AHG13" s="212"/>
      <c r="AHH13" s="212"/>
      <c r="AHI13" s="212"/>
      <c r="AHJ13" s="212"/>
      <c r="AHK13" s="212"/>
      <c r="AHL13" s="212"/>
      <c r="AHM13" s="212"/>
      <c r="AHN13" s="212"/>
      <c r="AHO13" s="212"/>
      <c r="AHP13" s="212"/>
      <c r="AHQ13" s="212"/>
      <c r="AHR13" s="212"/>
      <c r="AHS13" s="212"/>
      <c r="AHT13" s="212"/>
      <c r="AHU13" s="213"/>
      <c r="AHV13" s="211" t="s">
        <v>61</v>
      </c>
      <c r="AHW13" s="212"/>
      <c r="AHX13" s="212"/>
      <c r="AHY13" s="212"/>
      <c r="AHZ13" s="212"/>
      <c r="AIA13" s="212"/>
      <c r="AIB13" s="212"/>
      <c r="AIC13" s="212"/>
      <c r="AID13" s="212"/>
      <c r="AIE13" s="212"/>
      <c r="AIF13" s="212"/>
      <c r="AIG13" s="212"/>
      <c r="AIH13" s="212"/>
      <c r="AII13" s="212"/>
      <c r="AIJ13" s="212"/>
      <c r="AIK13" s="212"/>
      <c r="AIL13" s="212"/>
      <c r="AIM13" s="212"/>
      <c r="AIN13" s="212"/>
      <c r="AIO13" s="212"/>
      <c r="AIP13" s="212"/>
      <c r="AIQ13" s="212"/>
      <c r="AIR13" s="212"/>
      <c r="AIS13" s="212"/>
      <c r="AIT13" s="212"/>
      <c r="AIU13" s="212"/>
      <c r="AIV13" s="212"/>
      <c r="AIW13" s="212"/>
      <c r="AIX13" s="212"/>
      <c r="AIY13" s="212"/>
      <c r="AIZ13" s="212"/>
      <c r="AJA13" s="212"/>
      <c r="AJB13" s="212"/>
      <c r="AJC13" s="212"/>
      <c r="AJD13" s="212"/>
      <c r="AJE13" s="212"/>
      <c r="AJF13" s="212"/>
      <c r="AJG13" s="212"/>
      <c r="AJH13" s="212"/>
      <c r="AJI13" s="212"/>
      <c r="AJJ13" s="212"/>
      <c r="AJK13" s="212"/>
      <c r="AJL13" s="212"/>
      <c r="AJM13" s="212"/>
      <c r="AJN13" s="212"/>
      <c r="AJO13" s="212"/>
      <c r="AJP13" s="212"/>
      <c r="AJQ13" s="212"/>
      <c r="AJR13" s="212"/>
      <c r="AJS13" s="212"/>
      <c r="AJT13" s="212"/>
      <c r="AJU13" s="212"/>
      <c r="AJV13" s="212"/>
      <c r="AJW13" s="212"/>
      <c r="AJX13" s="212"/>
      <c r="AJY13" s="212"/>
      <c r="AJZ13" s="212"/>
      <c r="AKA13" s="212"/>
      <c r="AKB13" s="212"/>
      <c r="AKC13" s="213"/>
      <c r="AKD13" s="211" t="s">
        <v>60</v>
      </c>
      <c r="AKE13" s="212"/>
      <c r="AKF13" s="212"/>
      <c r="AKG13" s="212"/>
      <c r="AKH13" s="212"/>
      <c r="AKI13" s="212"/>
      <c r="AKJ13" s="212"/>
      <c r="AKK13" s="212"/>
      <c r="AKL13" s="212"/>
      <c r="AKM13" s="212"/>
      <c r="AKN13" s="212"/>
      <c r="AKO13" s="212"/>
      <c r="AKP13" s="212"/>
      <c r="AKQ13" s="212"/>
      <c r="AKR13" s="212"/>
      <c r="AKS13" s="212"/>
      <c r="AKT13" s="212"/>
      <c r="AKU13" s="212"/>
      <c r="AKV13" s="212"/>
      <c r="AKW13" s="212"/>
      <c r="AKX13" s="212"/>
      <c r="AKY13" s="212"/>
      <c r="AKZ13" s="212"/>
      <c r="ALA13" s="212"/>
      <c r="ALB13" s="212"/>
      <c r="ALC13" s="212"/>
      <c r="ALD13" s="212"/>
      <c r="ALE13" s="212"/>
      <c r="ALF13" s="212"/>
      <c r="ALG13" s="212"/>
      <c r="ALH13" s="212"/>
      <c r="ALI13" s="212"/>
      <c r="ALJ13" s="212"/>
      <c r="ALK13" s="212"/>
      <c r="ALL13" s="212"/>
      <c r="ALM13" s="212"/>
      <c r="ALN13" s="212"/>
      <c r="ALO13" s="212"/>
      <c r="ALP13" s="212"/>
      <c r="ALQ13" s="212"/>
      <c r="ALR13" s="212"/>
      <c r="ALS13" s="212"/>
      <c r="ALT13" s="212"/>
      <c r="ALU13" s="212"/>
      <c r="ALV13" s="212"/>
      <c r="ALW13" s="212"/>
      <c r="ALX13" s="212"/>
      <c r="ALY13" s="212"/>
      <c r="ALZ13" s="212"/>
      <c r="AMA13" s="212"/>
      <c r="AMB13" s="212"/>
      <c r="AMC13" s="212"/>
      <c r="AMD13" s="212"/>
      <c r="AME13" s="212"/>
      <c r="AMF13" s="212"/>
      <c r="AMG13" s="212"/>
      <c r="AMH13" s="212"/>
      <c r="AMI13" s="212"/>
      <c r="AMJ13" s="212"/>
      <c r="AMK13" s="213"/>
      <c r="AML13" s="211" t="s">
        <v>59</v>
      </c>
      <c r="AMM13" s="212"/>
      <c r="AMN13" s="212"/>
      <c r="AMO13" s="212"/>
      <c r="AMP13" s="212"/>
      <c r="AMQ13" s="212"/>
      <c r="AMR13" s="212"/>
      <c r="AMS13" s="212"/>
      <c r="AMT13" s="212"/>
      <c r="AMU13" s="212"/>
      <c r="AMV13" s="212"/>
      <c r="AMW13" s="212"/>
      <c r="AMX13" s="212"/>
      <c r="AMY13" s="212"/>
      <c r="AMZ13" s="212"/>
      <c r="ANA13" s="212"/>
      <c r="ANB13" s="212"/>
      <c r="ANC13" s="212"/>
      <c r="AND13" s="212"/>
      <c r="ANE13" s="212"/>
      <c r="ANF13" s="212"/>
      <c r="ANG13" s="212"/>
      <c r="ANH13" s="212"/>
      <c r="ANI13" s="212"/>
      <c r="ANJ13" s="212"/>
      <c r="ANK13" s="212"/>
      <c r="ANL13" s="212"/>
      <c r="ANM13" s="212"/>
      <c r="ANN13" s="212"/>
      <c r="ANO13" s="212"/>
      <c r="ANP13" s="212"/>
      <c r="ANQ13" s="212"/>
      <c r="ANR13" s="212"/>
      <c r="ANS13" s="212"/>
      <c r="ANT13" s="212"/>
      <c r="ANU13" s="212"/>
      <c r="ANV13" s="212"/>
      <c r="ANW13" s="212"/>
      <c r="ANX13" s="212"/>
      <c r="ANY13" s="212"/>
      <c r="ANZ13" s="212"/>
      <c r="AOA13" s="212"/>
      <c r="AOB13" s="212"/>
      <c r="AOC13" s="212"/>
      <c r="AOD13" s="212"/>
      <c r="AOE13" s="212"/>
      <c r="AOF13" s="212"/>
      <c r="AOG13" s="212"/>
      <c r="AOH13" s="212"/>
      <c r="AOI13" s="212"/>
      <c r="AOJ13" s="212"/>
      <c r="AOK13" s="212"/>
      <c r="AOL13" s="212"/>
      <c r="AOM13" s="212"/>
      <c r="AON13" s="212"/>
      <c r="AOO13" s="212"/>
      <c r="AOP13" s="212"/>
      <c r="AOQ13" s="212"/>
      <c r="AOR13" s="212"/>
      <c r="AOS13" s="213"/>
      <c r="AOT13" s="211" t="s">
        <v>58</v>
      </c>
      <c r="AOU13" s="212"/>
      <c r="AOV13" s="212"/>
      <c r="AOW13" s="212"/>
      <c r="AOX13" s="212"/>
      <c r="AOY13" s="212"/>
      <c r="AOZ13" s="212"/>
      <c r="APA13" s="212"/>
      <c r="APB13" s="212"/>
      <c r="APC13" s="212"/>
      <c r="APD13" s="212"/>
      <c r="APE13" s="212"/>
      <c r="APF13" s="212"/>
      <c r="APG13" s="212"/>
      <c r="APH13" s="212"/>
      <c r="API13" s="212"/>
      <c r="APJ13" s="212"/>
      <c r="APK13" s="212"/>
      <c r="APL13" s="212"/>
      <c r="APM13" s="212"/>
      <c r="APN13" s="212"/>
      <c r="APO13" s="212"/>
      <c r="APP13" s="212"/>
      <c r="APQ13" s="212"/>
      <c r="APR13" s="212"/>
      <c r="APS13" s="212"/>
      <c r="APT13" s="212"/>
      <c r="APU13" s="212"/>
      <c r="APV13" s="212"/>
      <c r="APW13" s="212"/>
      <c r="APX13" s="212"/>
      <c r="APY13" s="212"/>
      <c r="APZ13" s="212"/>
      <c r="AQA13" s="212"/>
      <c r="AQB13" s="212"/>
      <c r="AQC13" s="212"/>
      <c r="AQD13" s="212"/>
      <c r="AQE13" s="212"/>
      <c r="AQF13" s="212"/>
      <c r="AQG13" s="212"/>
      <c r="AQH13" s="212"/>
      <c r="AQI13" s="212"/>
      <c r="AQJ13" s="212"/>
      <c r="AQK13" s="212"/>
      <c r="AQL13" s="212"/>
      <c r="AQM13" s="212"/>
      <c r="AQN13" s="212"/>
      <c r="AQO13" s="212"/>
      <c r="AQP13" s="212"/>
      <c r="AQQ13" s="212"/>
      <c r="AQR13" s="212"/>
      <c r="AQS13" s="212"/>
      <c r="AQT13" s="212"/>
      <c r="AQU13" s="212"/>
      <c r="AQV13" s="212"/>
      <c r="AQW13" s="212"/>
      <c r="AQX13" s="212"/>
      <c r="AQY13" s="212"/>
      <c r="AQZ13" s="212"/>
      <c r="ARA13" s="213"/>
      <c r="ARB13" s="211" t="s">
        <v>57</v>
      </c>
      <c r="ARC13" s="212"/>
      <c r="ARD13" s="212"/>
      <c r="ARE13" s="212"/>
      <c r="ARF13" s="212"/>
      <c r="ARG13" s="212"/>
      <c r="ARH13" s="212"/>
      <c r="ARI13" s="212"/>
      <c r="ARJ13" s="212"/>
      <c r="ARK13" s="212"/>
      <c r="ARL13" s="212"/>
      <c r="ARM13" s="212"/>
      <c r="ARN13" s="212"/>
      <c r="ARO13" s="212"/>
      <c r="ARP13" s="212"/>
      <c r="ARQ13" s="212"/>
      <c r="ARR13" s="212"/>
      <c r="ARS13" s="212"/>
      <c r="ART13" s="212"/>
      <c r="ARU13" s="212"/>
      <c r="ARV13" s="212"/>
      <c r="ARW13" s="212"/>
      <c r="ARX13" s="212"/>
      <c r="ARY13" s="212"/>
      <c r="ARZ13" s="212"/>
      <c r="ASA13" s="212"/>
      <c r="ASB13" s="212"/>
      <c r="ASC13" s="212"/>
      <c r="ASD13" s="212"/>
      <c r="ASE13" s="212"/>
      <c r="ASF13" s="212"/>
      <c r="ASG13" s="212"/>
      <c r="ASH13" s="212"/>
      <c r="ASI13" s="212"/>
      <c r="ASJ13" s="212"/>
      <c r="ASK13" s="212"/>
      <c r="ASL13" s="212"/>
      <c r="ASM13" s="212"/>
      <c r="ASN13" s="212"/>
      <c r="ASO13" s="212"/>
      <c r="ASP13" s="212"/>
      <c r="ASQ13" s="212"/>
      <c r="ASR13" s="212"/>
      <c r="ASS13" s="212"/>
      <c r="AST13" s="212"/>
      <c r="ASU13" s="212"/>
      <c r="ASV13" s="212"/>
      <c r="ASW13" s="212"/>
      <c r="ASX13" s="212"/>
      <c r="ASY13" s="212"/>
      <c r="ASZ13" s="212"/>
      <c r="ATA13" s="212"/>
      <c r="ATB13" s="212"/>
      <c r="ATC13" s="212"/>
      <c r="ATD13" s="212"/>
      <c r="ATE13" s="212"/>
      <c r="ATF13" s="212"/>
      <c r="ATG13" s="212"/>
      <c r="ATH13" s="212"/>
      <c r="ATI13" s="213"/>
      <c r="ATJ13" s="211" t="s">
        <v>56</v>
      </c>
      <c r="ATK13" s="212"/>
      <c r="ATL13" s="212"/>
      <c r="ATM13" s="212"/>
      <c r="ATN13" s="212"/>
      <c r="ATO13" s="212"/>
      <c r="ATP13" s="212"/>
      <c r="ATQ13" s="212"/>
      <c r="ATR13" s="212"/>
      <c r="ATS13" s="212"/>
      <c r="ATT13" s="212"/>
      <c r="ATU13" s="212"/>
      <c r="ATV13" s="212"/>
      <c r="ATW13" s="212"/>
      <c r="ATX13" s="212"/>
      <c r="ATY13" s="212"/>
      <c r="ATZ13" s="212"/>
      <c r="AUA13" s="212"/>
      <c r="AUB13" s="212"/>
      <c r="AUC13" s="212"/>
      <c r="AUD13" s="212"/>
      <c r="AUE13" s="212"/>
      <c r="AUF13" s="212"/>
      <c r="AUG13" s="212"/>
      <c r="AUH13" s="212"/>
      <c r="AUI13" s="212"/>
      <c r="AUJ13" s="212"/>
      <c r="AUK13" s="212"/>
      <c r="AUL13" s="212"/>
      <c r="AUM13" s="212"/>
      <c r="AUN13" s="212"/>
      <c r="AUO13" s="212"/>
      <c r="AUP13" s="212"/>
      <c r="AUQ13" s="212"/>
      <c r="AUR13" s="212"/>
      <c r="AUS13" s="212"/>
      <c r="AUT13" s="212"/>
      <c r="AUU13" s="212"/>
      <c r="AUV13" s="212"/>
      <c r="AUW13" s="212"/>
      <c r="AUX13" s="212"/>
      <c r="AUY13" s="212"/>
      <c r="AUZ13" s="212"/>
      <c r="AVA13" s="212"/>
      <c r="AVB13" s="212"/>
      <c r="AVC13" s="212"/>
      <c r="AVD13" s="212"/>
      <c r="AVE13" s="212"/>
      <c r="AVF13" s="212"/>
      <c r="AVG13" s="212"/>
      <c r="AVH13" s="212"/>
      <c r="AVI13" s="212"/>
      <c r="AVJ13" s="212"/>
      <c r="AVK13" s="212"/>
      <c r="AVL13" s="212"/>
      <c r="AVM13" s="212"/>
      <c r="AVN13" s="212"/>
      <c r="AVO13" s="212"/>
      <c r="AVP13" s="212"/>
      <c r="AVQ13" s="213"/>
      <c r="AVR13" s="211" t="s">
        <v>55</v>
      </c>
      <c r="AVS13" s="212"/>
      <c r="AVT13" s="212"/>
      <c r="AVU13" s="212"/>
      <c r="AVV13" s="212"/>
      <c r="AVW13" s="212"/>
      <c r="AVX13" s="212"/>
      <c r="AVY13" s="212"/>
      <c r="AVZ13" s="212"/>
      <c r="AWA13" s="212"/>
      <c r="AWB13" s="212"/>
      <c r="AWC13" s="212"/>
      <c r="AWD13" s="212"/>
      <c r="AWE13" s="212"/>
      <c r="AWF13" s="212"/>
      <c r="AWG13" s="212"/>
      <c r="AWH13" s="212"/>
      <c r="AWI13" s="212"/>
      <c r="AWJ13" s="212"/>
      <c r="AWK13" s="212"/>
      <c r="AWL13" s="212"/>
      <c r="AWM13" s="212"/>
      <c r="AWN13" s="212"/>
      <c r="AWO13" s="212"/>
      <c r="AWP13" s="212"/>
      <c r="AWQ13" s="212"/>
      <c r="AWR13" s="212"/>
      <c r="AWS13" s="212"/>
      <c r="AWT13" s="212"/>
      <c r="AWU13" s="212"/>
      <c r="AWV13" s="212"/>
      <c r="AWW13" s="212"/>
      <c r="AWX13" s="212"/>
      <c r="AWY13" s="212"/>
      <c r="AWZ13" s="212"/>
      <c r="AXA13" s="212"/>
      <c r="AXB13" s="212"/>
      <c r="AXC13" s="212"/>
      <c r="AXD13" s="212"/>
      <c r="AXE13" s="212"/>
      <c r="AXF13" s="212"/>
      <c r="AXG13" s="212"/>
      <c r="AXH13" s="212"/>
      <c r="AXI13" s="212"/>
      <c r="AXJ13" s="212"/>
      <c r="AXK13" s="212"/>
      <c r="AXL13" s="212"/>
      <c r="AXM13" s="212"/>
      <c r="AXN13" s="212"/>
      <c r="AXO13" s="212"/>
      <c r="AXP13" s="212"/>
      <c r="AXQ13" s="212"/>
      <c r="AXR13" s="212"/>
      <c r="AXS13" s="212"/>
      <c r="AXT13" s="212"/>
      <c r="AXU13" s="212"/>
      <c r="AXV13" s="212"/>
      <c r="AXW13" s="212"/>
      <c r="AXX13" s="212"/>
      <c r="AXY13" s="213"/>
      <c r="AXZ13" s="211" t="s">
        <v>54</v>
      </c>
      <c r="AYA13" s="212"/>
      <c r="AYB13" s="212"/>
      <c r="AYC13" s="212"/>
      <c r="AYD13" s="212"/>
      <c r="AYE13" s="212"/>
      <c r="AYF13" s="212"/>
      <c r="AYG13" s="212"/>
      <c r="AYH13" s="212"/>
      <c r="AYI13" s="212"/>
      <c r="AYJ13" s="212"/>
      <c r="AYK13" s="212"/>
      <c r="AYL13" s="212"/>
      <c r="AYM13" s="212"/>
      <c r="AYN13" s="212"/>
      <c r="AYO13" s="212"/>
      <c r="AYP13" s="212"/>
      <c r="AYQ13" s="212"/>
      <c r="AYR13" s="212"/>
      <c r="AYS13" s="212"/>
      <c r="AYT13" s="212"/>
      <c r="AYU13" s="212"/>
      <c r="AYV13" s="212"/>
      <c r="AYW13" s="212"/>
      <c r="AYX13" s="212"/>
      <c r="AYY13" s="212"/>
      <c r="AYZ13" s="212"/>
      <c r="AZA13" s="212"/>
      <c r="AZB13" s="212"/>
      <c r="AZC13" s="212"/>
      <c r="AZD13" s="212"/>
      <c r="AZE13" s="212"/>
      <c r="AZF13" s="212"/>
      <c r="AZG13" s="212"/>
      <c r="AZH13" s="212"/>
      <c r="AZI13" s="212"/>
      <c r="AZJ13" s="212"/>
      <c r="AZK13" s="212"/>
      <c r="AZL13" s="212"/>
      <c r="AZM13" s="212"/>
      <c r="AZN13" s="212"/>
      <c r="AZO13" s="212"/>
      <c r="AZP13" s="212"/>
      <c r="AZQ13" s="212"/>
      <c r="AZR13" s="212"/>
      <c r="AZS13" s="212"/>
      <c r="AZT13" s="212"/>
      <c r="AZU13" s="212"/>
      <c r="AZV13" s="212"/>
      <c r="AZW13" s="212"/>
      <c r="AZX13" s="212"/>
      <c r="AZY13" s="212"/>
      <c r="AZZ13" s="212"/>
      <c r="BAA13" s="212"/>
      <c r="BAB13" s="212"/>
      <c r="BAC13" s="212"/>
      <c r="BAD13" s="212"/>
      <c r="BAE13" s="212"/>
      <c r="BAF13" s="212"/>
      <c r="BAG13" s="213"/>
      <c r="BAH13" s="211" t="s">
        <v>53</v>
      </c>
      <c r="BAI13" s="212"/>
      <c r="BAJ13" s="212"/>
      <c r="BAK13" s="212"/>
      <c r="BAL13" s="212"/>
      <c r="BAM13" s="212"/>
      <c r="BAN13" s="212"/>
      <c r="BAO13" s="212"/>
      <c r="BAP13" s="212"/>
      <c r="BAQ13" s="212"/>
      <c r="BAR13" s="212"/>
      <c r="BAS13" s="212"/>
      <c r="BAT13" s="212"/>
      <c r="BAU13" s="212"/>
      <c r="BAV13" s="212"/>
      <c r="BAW13" s="212"/>
      <c r="BAX13" s="212"/>
      <c r="BAY13" s="212"/>
      <c r="BAZ13" s="212"/>
      <c r="BBA13" s="212"/>
      <c r="BBB13" s="212"/>
      <c r="BBC13" s="212"/>
      <c r="BBD13" s="212"/>
      <c r="BBE13" s="212"/>
      <c r="BBF13" s="212"/>
      <c r="BBG13" s="212"/>
      <c r="BBH13" s="212"/>
      <c r="BBI13" s="212"/>
      <c r="BBJ13" s="212"/>
      <c r="BBK13" s="212"/>
      <c r="BBL13" s="212"/>
      <c r="BBM13" s="212"/>
      <c r="BBN13" s="212"/>
      <c r="BBO13" s="212"/>
      <c r="BBP13" s="212"/>
      <c r="BBQ13" s="212"/>
      <c r="BBR13" s="212"/>
      <c r="BBS13" s="212"/>
      <c r="BBT13" s="212"/>
      <c r="BBU13" s="212"/>
      <c r="BBV13" s="212"/>
      <c r="BBW13" s="212"/>
      <c r="BBX13" s="212"/>
      <c r="BBY13" s="212"/>
      <c r="BBZ13" s="212"/>
      <c r="BCA13" s="212"/>
      <c r="BCB13" s="212"/>
      <c r="BCC13" s="212"/>
      <c r="BCD13" s="212"/>
      <c r="BCE13" s="212"/>
      <c r="BCF13" s="212"/>
      <c r="BCG13" s="212"/>
      <c r="BCH13" s="212"/>
      <c r="BCI13" s="212"/>
      <c r="BCJ13" s="212"/>
      <c r="BCK13" s="212"/>
      <c r="BCL13" s="212"/>
      <c r="BCM13" s="212"/>
      <c r="BCN13" s="212"/>
      <c r="BCO13" s="213"/>
      <c r="BCP13" s="211" t="s">
        <v>52</v>
      </c>
      <c r="BCQ13" s="212"/>
      <c r="BCR13" s="212"/>
      <c r="BCS13" s="212"/>
      <c r="BCT13" s="212"/>
      <c r="BCU13" s="212"/>
      <c r="BCV13" s="212"/>
      <c r="BCW13" s="212"/>
      <c r="BCX13" s="212"/>
      <c r="BCY13" s="212"/>
      <c r="BCZ13" s="212"/>
      <c r="BDA13" s="212"/>
      <c r="BDB13" s="212"/>
      <c r="BDC13" s="212"/>
      <c r="BDD13" s="212"/>
      <c r="BDE13" s="212"/>
      <c r="BDF13" s="212"/>
      <c r="BDG13" s="212"/>
      <c r="BDH13" s="212"/>
      <c r="BDI13" s="212"/>
      <c r="BDJ13" s="212"/>
      <c r="BDK13" s="212"/>
      <c r="BDL13" s="212"/>
      <c r="BDM13" s="212"/>
      <c r="BDN13" s="212"/>
      <c r="BDO13" s="212"/>
      <c r="BDP13" s="212"/>
      <c r="BDQ13" s="212"/>
      <c r="BDR13" s="212"/>
      <c r="BDS13" s="212"/>
      <c r="BDT13" s="212"/>
      <c r="BDU13" s="212"/>
      <c r="BDV13" s="212"/>
      <c r="BDW13" s="212"/>
      <c r="BDX13" s="212"/>
      <c r="BDY13" s="212"/>
      <c r="BDZ13" s="212"/>
      <c r="BEA13" s="212"/>
      <c r="BEB13" s="212"/>
      <c r="BEC13" s="212"/>
      <c r="BED13" s="212"/>
      <c r="BEE13" s="212"/>
      <c r="BEF13" s="212"/>
      <c r="BEG13" s="212"/>
      <c r="BEH13" s="212"/>
      <c r="BEI13" s="212"/>
      <c r="BEJ13" s="212"/>
      <c r="BEK13" s="212"/>
      <c r="BEL13" s="212"/>
      <c r="BEM13" s="212"/>
      <c r="BEN13" s="212"/>
      <c r="BEO13" s="212"/>
      <c r="BEP13" s="212"/>
      <c r="BEQ13" s="212"/>
      <c r="BER13" s="212"/>
      <c r="BES13" s="212"/>
      <c r="BET13" s="212"/>
      <c r="BEU13" s="212"/>
      <c r="BEV13" s="212"/>
      <c r="BEW13" s="213"/>
      <c r="BEX13" s="211" t="s">
        <v>51</v>
      </c>
      <c r="BEY13" s="212"/>
      <c r="BEZ13" s="212"/>
      <c r="BFA13" s="212"/>
      <c r="BFB13" s="212"/>
      <c r="BFC13" s="212"/>
      <c r="BFD13" s="212"/>
      <c r="BFE13" s="212"/>
      <c r="BFF13" s="212"/>
      <c r="BFG13" s="212"/>
      <c r="BFH13" s="212"/>
      <c r="BFI13" s="212"/>
      <c r="BFJ13" s="212"/>
      <c r="BFK13" s="212"/>
      <c r="BFL13" s="212"/>
      <c r="BFM13" s="212"/>
      <c r="BFN13" s="212"/>
      <c r="BFO13" s="212"/>
      <c r="BFP13" s="212"/>
      <c r="BFQ13" s="212"/>
      <c r="BFR13" s="212"/>
      <c r="BFS13" s="212"/>
      <c r="BFT13" s="212"/>
      <c r="BFU13" s="212"/>
      <c r="BFV13" s="212"/>
      <c r="BFW13" s="212"/>
      <c r="BFX13" s="212"/>
      <c r="BFY13" s="212"/>
      <c r="BFZ13" s="212"/>
      <c r="BGA13" s="212"/>
      <c r="BGB13" s="212"/>
      <c r="BGC13" s="212"/>
      <c r="BGD13" s="212"/>
      <c r="BGE13" s="212"/>
      <c r="BGF13" s="212"/>
      <c r="BGG13" s="212"/>
      <c r="BGH13" s="212"/>
      <c r="BGI13" s="212"/>
      <c r="BGJ13" s="212"/>
      <c r="BGK13" s="212"/>
      <c r="BGL13" s="212"/>
      <c r="BGM13" s="212"/>
      <c r="BGN13" s="212"/>
      <c r="BGO13" s="212"/>
      <c r="BGP13" s="212"/>
      <c r="BGQ13" s="212"/>
      <c r="BGR13" s="212"/>
      <c r="BGS13" s="212"/>
      <c r="BGT13" s="212"/>
      <c r="BGU13" s="212"/>
      <c r="BGV13" s="212"/>
      <c r="BGW13" s="212"/>
      <c r="BGX13" s="212"/>
      <c r="BGY13" s="212"/>
      <c r="BGZ13" s="212"/>
      <c r="BHA13" s="212"/>
      <c r="BHB13" s="212"/>
      <c r="BHC13" s="212"/>
      <c r="BHD13" s="212"/>
      <c r="BHE13" s="213"/>
      <c r="BHF13" s="90"/>
      <c r="BJN13" s="3" t="s">
        <v>50</v>
      </c>
      <c r="BLV13" s="3" t="s">
        <v>49</v>
      </c>
      <c r="BOD13" s="3" t="s">
        <v>48</v>
      </c>
      <c r="BQL13" s="3" t="s">
        <v>47</v>
      </c>
      <c r="BST13" s="3" t="s">
        <v>46</v>
      </c>
    </row>
    <row r="14" spans="1:1866" ht="12.75" customHeight="1" thickBot="1" x14ac:dyDescent="0.35">
      <c r="B14" s="96"/>
      <c r="C14" s="227"/>
      <c r="D14" s="145"/>
      <c r="E14" s="229"/>
      <c r="F14" s="103"/>
      <c r="G14" s="104"/>
      <c r="H14" s="104"/>
      <c r="I14" s="104"/>
      <c r="J14" s="214" t="s">
        <v>35</v>
      </c>
      <c r="K14" s="214"/>
      <c r="L14" s="214"/>
      <c r="M14" s="214"/>
      <c r="N14" s="104"/>
      <c r="O14" s="104"/>
      <c r="P14" s="215" t="s">
        <v>24</v>
      </c>
      <c r="Q14" s="215"/>
      <c r="R14" s="215"/>
      <c r="S14" s="215"/>
      <c r="T14" s="129"/>
      <c r="U14" s="129"/>
      <c r="V14" s="214" t="s">
        <v>36</v>
      </c>
      <c r="W14" s="214"/>
      <c r="X14" s="214"/>
      <c r="Y14" s="214"/>
      <c r="Z14" s="104"/>
      <c r="AA14" s="104"/>
      <c r="AB14" s="215" t="s">
        <v>25</v>
      </c>
      <c r="AC14" s="215"/>
      <c r="AD14" s="215"/>
      <c r="AE14" s="215"/>
      <c r="AF14" s="129"/>
      <c r="AG14" s="129"/>
      <c r="AH14" s="214" t="s">
        <v>37</v>
      </c>
      <c r="AI14" s="214"/>
      <c r="AJ14" s="214"/>
      <c r="AK14" s="214"/>
      <c r="AL14" s="104"/>
      <c r="AM14" s="104"/>
      <c r="AN14" s="215" t="s">
        <v>26</v>
      </c>
      <c r="AO14" s="215"/>
      <c r="AP14" s="215"/>
      <c r="AQ14" s="215"/>
      <c r="AR14" s="129"/>
      <c r="AS14" s="129"/>
      <c r="AT14" s="214" t="s">
        <v>38</v>
      </c>
      <c r="AU14" s="214"/>
      <c r="AV14" s="214"/>
      <c r="AW14" s="214"/>
      <c r="AX14" s="104"/>
      <c r="AY14" s="104"/>
      <c r="AZ14" s="215" t="s">
        <v>27</v>
      </c>
      <c r="BA14" s="215"/>
      <c r="BB14" s="215"/>
      <c r="BC14" s="215"/>
      <c r="BD14" s="129"/>
      <c r="BE14" s="129"/>
      <c r="BF14" s="214" t="s">
        <v>39</v>
      </c>
      <c r="BG14" s="214"/>
      <c r="BH14" s="214"/>
      <c r="BI14" s="214"/>
      <c r="BJ14" s="104"/>
      <c r="BK14" s="104"/>
      <c r="BL14" s="104"/>
      <c r="BM14" s="105"/>
      <c r="BN14" s="103"/>
      <c r="BO14" s="104"/>
      <c r="BP14" s="104"/>
      <c r="BQ14" s="104"/>
      <c r="BR14" s="214" t="s">
        <v>35</v>
      </c>
      <c r="BS14" s="214"/>
      <c r="BT14" s="214"/>
      <c r="BU14" s="214"/>
      <c r="BV14" s="104"/>
      <c r="BW14" s="104"/>
      <c r="BX14" s="215" t="s">
        <v>24</v>
      </c>
      <c r="BY14" s="215"/>
      <c r="BZ14" s="215"/>
      <c r="CA14" s="215"/>
      <c r="CB14" s="129"/>
      <c r="CC14" s="129"/>
      <c r="CD14" s="214" t="s">
        <v>36</v>
      </c>
      <c r="CE14" s="214"/>
      <c r="CF14" s="214"/>
      <c r="CG14" s="214"/>
      <c r="CH14" s="104"/>
      <c r="CI14" s="104"/>
      <c r="CJ14" s="215" t="s">
        <v>25</v>
      </c>
      <c r="CK14" s="215"/>
      <c r="CL14" s="215"/>
      <c r="CM14" s="215"/>
      <c r="CN14" s="129"/>
      <c r="CO14" s="129"/>
      <c r="CP14" s="214" t="s">
        <v>37</v>
      </c>
      <c r="CQ14" s="214"/>
      <c r="CR14" s="214"/>
      <c r="CS14" s="214"/>
      <c r="CT14" s="104"/>
      <c r="CU14" s="104"/>
      <c r="CV14" s="215" t="s">
        <v>26</v>
      </c>
      <c r="CW14" s="215"/>
      <c r="CX14" s="215"/>
      <c r="CY14" s="215"/>
      <c r="CZ14" s="129"/>
      <c r="DA14" s="129"/>
      <c r="DB14" s="214" t="s">
        <v>38</v>
      </c>
      <c r="DC14" s="214"/>
      <c r="DD14" s="214"/>
      <c r="DE14" s="214"/>
      <c r="DF14" s="104"/>
      <c r="DG14" s="104"/>
      <c r="DH14" s="215" t="s">
        <v>27</v>
      </c>
      <c r="DI14" s="215"/>
      <c r="DJ14" s="215"/>
      <c r="DK14" s="215"/>
      <c r="DL14" s="129"/>
      <c r="DM14" s="129"/>
      <c r="DN14" s="214" t="s">
        <v>39</v>
      </c>
      <c r="DO14" s="214"/>
      <c r="DP14" s="214"/>
      <c r="DQ14" s="214"/>
      <c r="DR14" s="104"/>
      <c r="DS14" s="104"/>
      <c r="DT14" s="104"/>
      <c r="DU14" s="105"/>
      <c r="DV14" s="103"/>
      <c r="DW14" s="104"/>
      <c r="DX14" s="104"/>
      <c r="DY14" s="104"/>
      <c r="DZ14" s="214" t="s">
        <v>35</v>
      </c>
      <c r="EA14" s="214"/>
      <c r="EB14" s="214"/>
      <c r="EC14" s="214"/>
      <c r="ED14" s="104"/>
      <c r="EE14" s="104"/>
      <c r="EF14" s="215" t="s">
        <v>24</v>
      </c>
      <c r="EG14" s="215"/>
      <c r="EH14" s="215"/>
      <c r="EI14" s="215"/>
      <c r="EJ14" s="129"/>
      <c r="EK14" s="129"/>
      <c r="EL14" s="214" t="s">
        <v>36</v>
      </c>
      <c r="EM14" s="214"/>
      <c r="EN14" s="214"/>
      <c r="EO14" s="214"/>
      <c r="EP14" s="104"/>
      <c r="EQ14" s="104"/>
      <c r="ER14" s="215" t="s">
        <v>25</v>
      </c>
      <c r="ES14" s="215"/>
      <c r="ET14" s="215"/>
      <c r="EU14" s="215"/>
      <c r="EV14" s="129"/>
      <c r="EW14" s="129"/>
      <c r="EX14" s="214" t="s">
        <v>37</v>
      </c>
      <c r="EY14" s="214"/>
      <c r="EZ14" s="214"/>
      <c r="FA14" s="214"/>
      <c r="FB14" s="104"/>
      <c r="FC14" s="104"/>
      <c r="FD14" s="215" t="s">
        <v>26</v>
      </c>
      <c r="FE14" s="215"/>
      <c r="FF14" s="215"/>
      <c r="FG14" s="215"/>
      <c r="FH14" s="129"/>
      <c r="FI14" s="129"/>
      <c r="FJ14" s="214" t="s">
        <v>38</v>
      </c>
      <c r="FK14" s="214"/>
      <c r="FL14" s="214"/>
      <c r="FM14" s="214"/>
      <c r="FN14" s="104"/>
      <c r="FO14" s="104"/>
      <c r="FP14" s="215" t="s">
        <v>27</v>
      </c>
      <c r="FQ14" s="215"/>
      <c r="FR14" s="215"/>
      <c r="FS14" s="215"/>
      <c r="FT14" s="129"/>
      <c r="FU14" s="129"/>
      <c r="FV14" s="214" t="s">
        <v>39</v>
      </c>
      <c r="FW14" s="214"/>
      <c r="FX14" s="214"/>
      <c r="FY14" s="214"/>
      <c r="FZ14" s="104"/>
      <c r="GA14" s="104"/>
      <c r="GB14" s="104"/>
      <c r="GC14" s="105"/>
      <c r="GD14" s="103"/>
      <c r="GE14" s="104"/>
      <c r="GF14" s="104"/>
      <c r="GG14" s="104"/>
      <c r="GH14" s="214" t="s">
        <v>35</v>
      </c>
      <c r="GI14" s="214"/>
      <c r="GJ14" s="214"/>
      <c r="GK14" s="214"/>
      <c r="GL14" s="104"/>
      <c r="GM14" s="104"/>
      <c r="GN14" s="215" t="s">
        <v>24</v>
      </c>
      <c r="GO14" s="215"/>
      <c r="GP14" s="215"/>
      <c r="GQ14" s="215"/>
      <c r="GR14" s="129"/>
      <c r="GS14" s="129"/>
      <c r="GT14" s="214" t="s">
        <v>36</v>
      </c>
      <c r="GU14" s="214"/>
      <c r="GV14" s="214"/>
      <c r="GW14" s="214"/>
      <c r="GX14" s="104"/>
      <c r="GY14" s="104"/>
      <c r="GZ14" s="215" t="s">
        <v>25</v>
      </c>
      <c r="HA14" s="215"/>
      <c r="HB14" s="215"/>
      <c r="HC14" s="215"/>
      <c r="HD14" s="129"/>
      <c r="HE14" s="129"/>
      <c r="HF14" s="214" t="s">
        <v>37</v>
      </c>
      <c r="HG14" s="214"/>
      <c r="HH14" s="214"/>
      <c r="HI14" s="214"/>
      <c r="HJ14" s="104"/>
      <c r="HK14" s="104"/>
      <c r="HL14" s="215" t="s">
        <v>26</v>
      </c>
      <c r="HM14" s="215"/>
      <c r="HN14" s="215"/>
      <c r="HO14" s="215"/>
      <c r="HP14" s="129"/>
      <c r="HQ14" s="129"/>
      <c r="HR14" s="214" t="s">
        <v>38</v>
      </c>
      <c r="HS14" s="214"/>
      <c r="HT14" s="214"/>
      <c r="HU14" s="214"/>
      <c r="HV14" s="104"/>
      <c r="HW14" s="104"/>
      <c r="HX14" s="215" t="s">
        <v>27</v>
      </c>
      <c r="HY14" s="215"/>
      <c r="HZ14" s="215"/>
      <c r="IA14" s="215"/>
      <c r="IB14" s="129"/>
      <c r="IC14" s="129"/>
      <c r="ID14" s="214" t="s">
        <v>39</v>
      </c>
      <c r="IE14" s="214"/>
      <c r="IF14" s="214"/>
      <c r="IG14" s="214"/>
      <c r="IH14" s="104"/>
      <c r="II14" s="104"/>
      <c r="IJ14" s="104"/>
      <c r="IK14" s="105"/>
      <c r="IL14" s="103"/>
      <c r="IM14" s="104"/>
      <c r="IN14" s="104"/>
      <c r="IO14" s="104"/>
      <c r="IP14" s="214" t="s">
        <v>35</v>
      </c>
      <c r="IQ14" s="214"/>
      <c r="IR14" s="214"/>
      <c r="IS14" s="214"/>
      <c r="IT14" s="104"/>
      <c r="IU14" s="104"/>
      <c r="IV14" s="215" t="s">
        <v>24</v>
      </c>
      <c r="IW14" s="215"/>
      <c r="IX14" s="215"/>
      <c r="IY14" s="215"/>
      <c r="IZ14" s="129"/>
      <c r="JA14" s="129"/>
      <c r="JB14" s="214" t="s">
        <v>36</v>
      </c>
      <c r="JC14" s="214"/>
      <c r="JD14" s="214"/>
      <c r="JE14" s="214"/>
      <c r="JF14" s="104"/>
      <c r="JG14" s="104"/>
      <c r="JH14" s="215" t="s">
        <v>25</v>
      </c>
      <c r="JI14" s="215"/>
      <c r="JJ14" s="215"/>
      <c r="JK14" s="215"/>
      <c r="JL14" s="129"/>
      <c r="JM14" s="129"/>
      <c r="JN14" s="214" t="s">
        <v>37</v>
      </c>
      <c r="JO14" s="214"/>
      <c r="JP14" s="214"/>
      <c r="JQ14" s="214"/>
      <c r="JR14" s="104"/>
      <c r="JS14" s="104"/>
      <c r="JT14" s="215" t="s">
        <v>26</v>
      </c>
      <c r="JU14" s="215"/>
      <c r="JV14" s="215"/>
      <c r="JW14" s="215"/>
      <c r="JX14" s="129"/>
      <c r="JY14" s="129"/>
      <c r="JZ14" s="214" t="s">
        <v>38</v>
      </c>
      <c r="KA14" s="214"/>
      <c r="KB14" s="214"/>
      <c r="KC14" s="214"/>
      <c r="KD14" s="104"/>
      <c r="KE14" s="104"/>
      <c r="KF14" s="215" t="s">
        <v>27</v>
      </c>
      <c r="KG14" s="215"/>
      <c r="KH14" s="215"/>
      <c r="KI14" s="215"/>
      <c r="KJ14" s="129"/>
      <c r="KK14" s="129"/>
      <c r="KL14" s="214" t="s">
        <v>39</v>
      </c>
      <c r="KM14" s="214"/>
      <c r="KN14" s="214"/>
      <c r="KO14" s="214"/>
      <c r="KP14" s="104"/>
      <c r="KQ14" s="104"/>
      <c r="KR14" s="104"/>
      <c r="KS14" s="105"/>
      <c r="KT14" s="103"/>
      <c r="KU14" s="104"/>
      <c r="KV14" s="104"/>
      <c r="KW14" s="104"/>
      <c r="KX14" s="214" t="s">
        <v>35</v>
      </c>
      <c r="KY14" s="214"/>
      <c r="KZ14" s="214"/>
      <c r="LA14" s="214"/>
      <c r="LB14" s="104"/>
      <c r="LC14" s="104"/>
      <c r="LD14" s="215" t="s">
        <v>24</v>
      </c>
      <c r="LE14" s="215"/>
      <c r="LF14" s="215"/>
      <c r="LG14" s="215"/>
      <c r="LH14" s="129"/>
      <c r="LI14" s="129"/>
      <c r="LJ14" s="214" t="s">
        <v>36</v>
      </c>
      <c r="LK14" s="214"/>
      <c r="LL14" s="214"/>
      <c r="LM14" s="214"/>
      <c r="LN14" s="104"/>
      <c r="LO14" s="104"/>
      <c r="LP14" s="215" t="s">
        <v>25</v>
      </c>
      <c r="LQ14" s="215"/>
      <c r="LR14" s="215"/>
      <c r="LS14" s="215"/>
      <c r="LT14" s="129"/>
      <c r="LU14" s="129"/>
      <c r="LV14" s="214" t="s">
        <v>37</v>
      </c>
      <c r="LW14" s="214"/>
      <c r="LX14" s="214"/>
      <c r="LY14" s="214"/>
      <c r="LZ14" s="104"/>
      <c r="MA14" s="104"/>
      <c r="MB14" s="215" t="s">
        <v>26</v>
      </c>
      <c r="MC14" s="215"/>
      <c r="MD14" s="215"/>
      <c r="ME14" s="215"/>
      <c r="MF14" s="129"/>
      <c r="MG14" s="129"/>
      <c r="MH14" s="214" t="s">
        <v>38</v>
      </c>
      <c r="MI14" s="214"/>
      <c r="MJ14" s="214"/>
      <c r="MK14" s="214"/>
      <c r="ML14" s="104"/>
      <c r="MM14" s="104"/>
      <c r="MN14" s="215" t="s">
        <v>27</v>
      </c>
      <c r="MO14" s="215"/>
      <c r="MP14" s="215"/>
      <c r="MQ14" s="215"/>
      <c r="MR14" s="129"/>
      <c r="MS14" s="129"/>
      <c r="MT14" s="214" t="s">
        <v>39</v>
      </c>
      <c r="MU14" s="214"/>
      <c r="MV14" s="214"/>
      <c r="MW14" s="214"/>
      <c r="MX14" s="104"/>
      <c r="MY14" s="104"/>
      <c r="MZ14" s="104"/>
      <c r="NA14" s="105"/>
      <c r="NB14" s="103"/>
      <c r="NC14" s="104"/>
      <c r="ND14" s="104"/>
      <c r="NE14" s="104"/>
      <c r="NF14" s="214" t="s">
        <v>35</v>
      </c>
      <c r="NG14" s="214"/>
      <c r="NH14" s="214"/>
      <c r="NI14" s="214"/>
      <c r="NJ14" s="104"/>
      <c r="NK14" s="104"/>
      <c r="NL14" s="215" t="s">
        <v>24</v>
      </c>
      <c r="NM14" s="215"/>
      <c r="NN14" s="215"/>
      <c r="NO14" s="215"/>
      <c r="NP14" s="129"/>
      <c r="NQ14" s="129"/>
      <c r="NR14" s="214" t="s">
        <v>36</v>
      </c>
      <c r="NS14" s="214"/>
      <c r="NT14" s="214"/>
      <c r="NU14" s="214"/>
      <c r="NV14" s="104"/>
      <c r="NW14" s="104"/>
      <c r="NX14" s="215" t="s">
        <v>25</v>
      </c>
      <c r="NY14" s="215"/>
      <c r="NZ14" s="215"/>
      <c r="OA14" s="215"/>
      <c r="OB14" s="129"/>
      <c r="OC14" s="129"/>
      <c r="OD14" s="214" t="s">
        <v>37</v>
      </c>
      <c r="OE14" s="214"/>
      <c r="OF14" s="214"/>
      <c r="OG14" s="214"/>
      <c r="OH14" s="104"/>
      <c r="OI14" s="104"/>
      <c r="OJ14" s="215" t="s">
        <v>26</v>
      </c>
      <c r="OK14" s="215"/>
      <c r="OL14" s="215"/>
      <c r="OM14" s="215"/>
      <c r="ON14" s="129"/>
      <c r="OO14" s="129"/>
      <c r="OP14" s="214" t="s">
        <v>38</v>
      </c>
      <c r="OQ14" s="214"/>
      <c r="OR14" s="214"/>
      <c r="OS14" s="214"/>
      <c r="OT14" s="104"/>
      <c r="OU14" s="104"/>
      <c r="OV14" s="215" t="s">
        <v>27</v>
      </c>
      <c r="OW14" s="215"/>
      <c r="OX14" s="215"/>
      <c r="OY14" s="215"/>
      <c r="OZ14" s="129"/>
      <c r="PA14" s="129"/>
      <c r="PB14" s="214" t="s">
        <v>39</v>
      </c>
      <c r="PC14" s="214"/>
      <c r="PD14" s="214"/>
      <c r="PE14" s="214"/>
      <c r="PF14" s="104"/>
      <c r="PG14" s="104"/>
      <c r="PH14" s="104"/>
      <c r="PI14" s="105"/>
      <c r="PJ14" s="103"/>
      <c r="PK14" s="104"/>
      <c r="PL14" s="104"/>
      <c r="PM14" s="104"/>
      <c r="PN14" s="214" t="s">
        <v>35</v>
      </c>
      <c r="PO14" s="214"/>
      <c r="PP14" s="214"/>
      <c r="PQ14" s="214"/>
      <c r="PR14" s="104"/>
      <c r="PS14" s="104"/>
      <c r="PT14" s="215" t="s">
        <v>24</v>
      </c>
      <c r="PU14" s="215"/>
      <c r="PV14" s="215"/>
      <c r="PW14" s="215"/>
      <c r="PX14" s="129"/>
      <c r="PY14" s="129"/>
      <c r="PZ14" s="214" t="s">
        <v>36</v>
      </c>
      <c r="QA14" s="214"/>
      <c r="QB14" s="214"/>
      <c r="QC14" s="214"/>
      <c r="QD14" s="104"/>
      <c r="QE14" s="104"/>
      <c r="QF14" s="215" t="s">
        <v>25</v>
      </c>
      <c r="QG14" s="215"/>
      <c r="QH14" s="215"/>
      <c r="QI14" s="215"/>
      <c r="QJ14" s="129"/>
      <c r="QK14" s="129"/>
      <c r="QL14" s="214" t="s">
        <v>37</v>
      </c>
      <c r="QM14" s="214"/>
      <c r="QN14" s="214"/>
      <c r="QO14" s="214"/>
      <c r="QP14" s="104"/>
      <c r="QQ14" s="104"/>
      <c r="QR14" s="215" t="s">
        <v>26</v>
      </c>
      <c r="QS14" s="215"/>
      <c r="QT14" s="215"/>
      <c r="QU14" s="215"/>
      <c r="QV14" s="129"/>
      <c r="QW14" s="129"/>
      <c r="QX14" s="214" t="s">
        <v>38</v>
      </c>
      <c r="QY14" s="214"/>
      <c r="QZ14" s="214"/>
      <c r="RA14" s="214"/>
      <c r="RB14" s="104"/>
      <c r="RC14" s="104"/>
      <c r="RD14" s="215" t="s">
        <v>27</v>
      </c>
      <c r="RE14" s="215"/>
      <c r="RF14" s="215"/>
      <c r="RG14" s="215"/>
      <c r="RH14" s="129"/>
      <c r="RI14" s="129"/>
      <c r="RJ14" s="214" t="s">
        <v>39</v>
      </c>
      <c r="RK14" s="214"/>
      <c r="RL14" s="214"/>
      <c r="RM14" s="214"/>
      <c r="RN14" s="104"/>
      <c r="RO14" s="104"/>
      <c r="RP14" s="104"/>
      <c r="RQ14" s="105"/>
      <c r="RR14" s="103"/>
      <c r="RS14" s="104"/>
      <c r="RT14" s="104"/>
      <c r="RU14" s="104"/>
      <c r="RV14" s="214" t="s">
        <v>35</v>
      </c>
      <c r="RW14" s="214"/>
      <c r="RX14" s="214"/>
      <c r="RY14" s="214"/>
      <c r="RZ14" s="104"/>
      <c r="SA14" s="104"/>
      <c r="SB14" s="215" t="s">
        <v>24</v>
      </c>
      <c r="SC14" s="215"/>
      <c r="SD14" s="215"/>
      <c r="SE14" s="215"/>
      <c r="SF14" s="129"/>
      <c r="SG14" s="129"/>
      <c r="SH14" s="214" t="s">
        <v>36</v>
      </c>
      <c r="SI14" s="214"/>
      <c r="SJ14" s="214"/>
      <c r="SK14" s="214"/>
      <c r="SL14" s="104"/>
      <c r="SM14" s="104"/>
      <c r="SN14" s="215" t="s">
        <v>25</v>
      </c>
      <c r="SO14" s="215"/>
      <c r="SP14" s="215"/>
      <c r="SQ14" s="215"/>
      <c r="SR14" s="129"/>
      <c r="SS14" s="129"/>
      <c r="ST14" s="214" t="s">
        <v>37</v>
      </c>
      <c r="SU14" s="214"/>
      <c r="SV14" s="214"/>
      <c r="SW14" s="214"/>
      <c r="SX14" s="104"/>
      <c r="SY14" s="104"/>
      <c r="SZ14" s="215" t="s">
        <v>26</v>
      </c>
      <c r="TA14" s="215"/>
      <c r="TB14" s="215"/>
      <c r="TC14" s="215"/>
      <c r="TD14" s="129"/>
      <c r="TE14" s="129"/>
      <c r="TF14" s="214" t="s">
        <v>38</v>
      </c>
      <c r="TG14" s="214"/>
      <c r="TH14" s="214"/>
      <c r="TI14" s="214"/>
      <c r="TJ14" s="104"/>
      <c r="TK14" s="104"/>
      <c r="TL14" s="215" t="s">
        <v>27</v>
      </c>
      <c r="TM14" s="215"/>
      <c r="TN14" s="215"/>
      <c r="TO14" s="215"/>
      <c r="TP14" s="129"/>
      <c r="TQ14" s="129"/>
      <c r="TR14" s="214" t="s">
        <v>39</v>
      </c>
      <c r="TS14" s="214"/>
      <c r="TT14" s="214"/>
      <c r="TU14" s="214"/>
      <c r="TV14" s="104"/>
      <c r="TW14" s="104"/>
      <c r="TX14" s="104"/>
      <c r="TY14" s="105"/>
      <c r="TZ14" s="103"/>
      <c r="UA14" s="104"/>
      <c r="UB14" s="104"/>
      <c r="UC14" s="104"/>
      <c r="UD14" s="214" t="s">
        <v>35</v>
      </c>
      <c r="UE14" s="214"/>
      <c r="UF14" s="214"/>
      <c r="UG14" s="214"/>
      <c r="UH14" s="104"/>
      <c r="UI14" s="104"/>
      <c r="UJ14" s="215" t="s">
        <v>24</v>
      </c>
      <c r="UK14" s="215"/>
      <c r="UL14" s="215"/>
      <c r="UM14" s="215"/>
      <c r="UN14" s="129"/>
      <c r="UO14" s="129"/>
      <c r="UP14" s="214" t="s">
        <v>36</v>
      </c>
      <c r="UQ14" s="214"/>
      <c r="UR14" s="214"/>
      <c r="US14" s="214"/>
      <c r="UT14" s="104"/>
      <c r="UU14" s="104"/>
      <c r="UV14" s="215" t="s">
        <v>25</v>
      </c>
      <c r="UW14" s="215"/>
      <c r="UX14" s="215"/>
      <c r="UY14" s="215"/>
      <c r="UZ14" s="129"/>
      <c r="VA14" s="129"/>
      <c r="VB14" s="214" t="s">
        <v>37</v>
      </c>
      <c r="VC14" s="214"/>
      <c r="VD14" s="214"/>
      <c r="VE14" s="214"/>
      <c r="VF14" s="104"/>
      <c r="VG14" s="104"/>
      <c r="VH14" s="215" t="s">
        <v>26</v>
      </c>
      <c r="VI14" s="215"/>
      <c r="VJ14" s="215"/>
      <c r="VK14" s="215"/>
      <c r="VL14" s="129"/>
      <c r="VM14" s="129"/>
      <c r="VN14" s="214" t="s">
        <v>38</v>
      </c>
      <c r="VO14" s="214"/>
      <c r="VP14" s="214"/>
      <c r="VQ14" s="214"/>
      <c r="VR14" s="104"/>
      <c r="VS14" s="104"/>
      <c r="VT14" s="215" t="s">
        <v>27</v>
      </c>
      <c r="VU14" s="215"/>
      <c r="VV14" s="215"/>
      <c r="VW14" s="215"/>
      <c r="VX14" s="129"/>
      <c r="VY14" s="129"/>
      <c r="VZ14" s="214" t="s">
        <v>39</v>
      </c>
      <c r="WA14" s="214"/>
      <c r="WB14" s="214"/>
      <c r="WC14" s="214"/>
      <c r="WD14" s="104"/>
      <c r="WE14" s="104"/>
      <c r="WF14" s="104"/>
      <c r="WG14" s="105"/>
      <c r="WH14" s="103"/>
      <c r="WI14" s="104"/>
      <c r="WJ14" s="104"/>
      <c r="WK14" s="104"/>
      <c r="WL14" s="214" t="s">
        <v>35</v>
      </c>
      <c r="WM14" s="214"/>
      <c r="WN14" s="214"/>
      <c r="WO14" s="214"/>
      <c r="WP14" s="104"/>
      <c r="WQ14" s="104"/>
      <c r="WR14" s="215" t="s">
        <v>24</v>
      </c>
      <c r="WS14" s="215"/>
      <c r="WT14" s="215"/>
      <c r="WU14" s="215"/>
      <c r="WV14" s="129"/>
      <c r="WW14" s="129"/>
      <c r="WX14" s="214" t="s">
        <v>36</v>
      </c>
      <c r="WY14" s="214"/>
      <c r="WZ14" s="214"/>
      <c r="XA14" s="214"/>
      <c r="XB14" s="104"/>
      <c r="XC14" s="104"/>
      <c r="XD14" s="215" t="s">
        <v>25</v>
      </c>
      <c r="XE14" s="215"/>
      <c r="XF14" s="215"/>
      <c r="XG14" s="215"/>
      <c r="XH14" s="129"/>
      <c r="XI14" s="129"/>
      <c r="XJ14" s="214" t="s">
        <v>37</v>
      </c>
      <c r="XK14" s="214"/>
      <c r="XL14" s="214"/>
      <c r="XM14" s="214"/>
      <c r="XN14" s="104"/>
      <c r="XO14" s="104"/>
      <c r="XP14" s="215" t="s">
        <v>26</v>
      </c>
      <c r="XQ14" s="215"/>
      <c r="XR14" s="215"/>
      <c r="XS14" s="215"/>
      <c r="XT14" s="129"/>
      <c r="XU14" s="129"/>
      <c r="XV14" s="214" t="s">
        <v>38</v>
      </c>
      <c r="XW14" s="214"/>
      <c r="XX14" s="214"/>
      <c r="XY14" s="214"/>
      <c r="XZ14" s="104"/>
      <c r="YA14" s="104"/>
      <c r="YB14" s="215" t="s">
        <v>27</v>
      </c>
      <c r="YC14" s="215"/>
      <c r="YD14" s="215"/>
      <c r="YE14" s="215"/>
      <c r="YF14" s="129"/>
      <c r="YG14" s="129"/>
      <c r="YH14" s="214" t="s">
        <v>39</v>
      </c>
      <c r="YI14" s="214"/>
      <c r="YJ14" s="214"/>
      <c r="YK14" s="214"/>
      <c r="YL14" s="104"/>
      <c r="YM14" s="104"/>
      <c r="YN14" s="104"/>
      <c r="YO14" s="105"/>
      <c r="YP14" s="103"/>
      <c r="YQ14" s="104"/>
      <c r="YR14" s="104"/>
      <c r="YS14" s="104"/>
      <c r="YT14" s="214" t="s">
        <v>35</v>
      </c>
      <c r="YU14" s="214"/>
      <c r="YV14" s="214"/>
      <c r="YW14" s="214"/>
      <c r="YX14" s="104"/>
      <c r="YY14" s="104"/>
      <c r="YZ14" s="215" t="s">
        <v>24</v>
      </c>
      <c r="ZA14" s="215"/>
      <c r="ZB14" s="215"/>
      <c r="ZC14" s="215"/>
      <c r="ZD14" s="129"/>
      <c r="ZE14" s="129"/>
      <c r="ZF14" s="214" t="s">
        <v>36</v>
      </c>
      <c r="ZG14" s="214"/>
      <c r="ZH14" s="214"/>
      <c r="ZI14" s="214"/>
      <c r="ZJ14" s="104"/>
      <c r="ZK14" s="104"/>
      <c r="ZL14" s="215" t="s">
        <v>25</v>
      </c>
      <c r="ZM14" s="215"/>
      <c r="ZN14" s="215"/>
      <c r="ZO14" s="215"/>
      <c r="ZP14" s="129"/>
      <c r="ZQ14" s="129"/>
      <c r="ZR14" s="214" t="s">
        <v>37</v>
      </c>
      <c r="ZS14" s="214"/>
      <c r="ZT14" s="214"/>
      <c r="ZU14" s="214"/>
      <c r="ZV14" s="104"/>
      <c r="ZW14" s="104"/>
      <c r="ZX14" s="215" t="s">
        <v>26</v>
      </c>
      <c r="ZY14" s="215"/>
      <c r="ZZ14" s="215"/>
      <c r="AAA14" s="215"/>
      <c r="AAB14" s="129"/>
      <c r="AAC14" s="129"/>
      <c r="AAD14" s="214" t="s">
        <v>38</v>
      </c>
      <c r="AAE14" s="214"/>
      <c r="AAF14" s="214"/>
      <c r="AAG14" s="214"/>
      <c r="AAH14" s="104"/>
      <c r="AAI14" s="104"/>
      <c r="AAJ14" s="215" t="s">
        <v>27</v>
      </c>
      <c r="AAK14" s="215"/>
      <c r="AAL14" s="215"/>
      <c r="AAM14" s="215"/>
      <c r="AAN14" s="129"/>
      <c r="AAO14" s="129"/>
      <c r="AAP14" s="214" t="s">
        <v>39</v>
      </c>
      <c r="AAQ14" s="214"/>
      <c r="AAR14" s="214"/>
      <c r="AAS14" s="214"/>
      <c r="AAT14" s="104"/>
      <c r="AAU14" s="104"/>
      <c r="AAV14" s="104"/>
      <c r="AAW14" s="105"/>
      <c r="AAX14" s="103"/>
      <c r="AAY14" s="104"/>
      <c r="AAZ14" s="104"/>
      <c r="ABA14" s="104"/>
      <c r="ABB14" s="214" t="s">
        <v>35</v>
      </c>
      <c r="ABC14" s="214"/>
      <c r="ABD14" s="214"/>
      <c r="ABE14" s="214"/>
      <c r="ABF14" s="104"/>
      <c r="ABG14" s="104"/>
      <c r="ABH14" s="215" t="s">
        <v>24</v>
      </c>
      <c r="ABI14" s="215"/>
      <c r="ABJ14" s="215"/>
      <c r="ABK14" s="215"/>
      <c r="ABL14" s="129"/>
      <c r="ABM14" s="129"/>
      <c r="ABN14" s="214" t="s">
        <v>36</v>
      </c>
      <c r="ABO14" s="214"/>
      <c r="ABP14" s="214"/>
      <c r="ABQ14" s="214"/>
      <c r="ABR14" s="104"/>
      <c r="ABS14" s="104"/>
      <c r="ABT14" s="215" t="s">
        <v>25</v>
      </c>
      <c r="ABU14" s="215"/>
      <c r="ABV14" s="215"/>
      <c r="ABW14" s="215"/>
      <c r="ABX14" s="129"/>
      <c r="ABY14" s="129"/>
      <c r="ABZ14" s="214" t="s">
        <v>37</v>
      </c>
      <c r="ACA14" s="214"/>
      <c r="ACB14" s="214"/>
      <c r="ACC14" s="214"/>
      <c r="ACD14" s="104"/>
      <c r="ACE14" s="104"/>
      <c r="ACF14" s="215" t="s">
        <v>26</v>
      </c>
      <c r="ACG14" s="215"/>
      <c r="ACH14" s="215"/>
      <c r="ACI14" s="215"/>
      <c r="ACJ14" s="129"/>
      <c r="ACK14" s="129"/>
      <c r="ACL14" s="214" t="s">
        <v>38</v>
      </c>
      <c r="ACM14" s="214"/>
      <c r="ACN14" s="214"/>
      <c r="ACO14" s="214"/>
      <c r="ACP14" s="104"/>
      <c r="ACQ14" s="104"/>
      <c r="ACR14" s="215" t="s">
        <v>27</v>
      </c>
      <c r="ACS14" s="215"/>
      <c r="ACT14" s="215"/>
      <c r="ACU14" s="215"/>
      <c r="ACV14" s="129"/>
      <c r="ACW14" s="129"/>
      <c r="ACX14" s="214" t="s">
        <v>39</v>
      </c>
      <c r="ACY14" s="214"/>
      <c r="ACZ14" s="214"/>
      <c r="ADA14" s="214"/>
      <c r="ADB14" s="104"/>
      <c r="ADC14" s="104"/>
      <c r="ADD14" s="104"/>
      <c r="ADE14" s="105"/>
      <c r="ADF14" s="103"/>
      <c r="ADG14" s="104"/>
      <c r="ADH14" s="104"/>
      <c r="ADI14" s="104"/>
      <c r="ADJ14" s="214" t="s">
        <v>35</v>
      </c>
      <c r="ADK14" s="214"/>
      <c r="ADL14" s="214"/>
      <c r="ADM14" s="214"/>
      <c r="ADN14" s="104"/>
      <c r="ADO14" s="104"/>
      <c r="ADP14" s="215" t="s">
        <v>24</v>
      </c>
      <c r="ADQ14" s="215"/>
      <c r="ADR14" s="215"/>
      <c r="ADS14" s="215"/>
      <c r="ADT14" s="129"/>
      <c r="ADU14" s="129"/>
      <c r="ADV14" s="214" t="s">
        <v>36</v>
      </c>
      <c r="ADW14" s="214"/>
      <c r="ADX14" s="214"/>
      <c r="ADY14" s="214"/>
      <c r="ADZ14" s="104"/>
      <c r="AEA14" s="104"/>
      <c r="AEB14" s="215" t="s">
        <v>25</v>
      </c>
      <c r="AEC14" s="215"/>
      <c r="AED14" s="215"/>
      <c r="AEE14" s="215"/>
      <c r="AEF14" s="129"/>
      <c r="AEG14" s="129"/>
      <c r="AEH14" s="214" t="s">
        <v>37</v>
      </c>
      <c r="AEI14" s="214"/>
      <c r="AEJ14" s="214"/>
      <c r="AEK14" s="214"/>
      <c r="AEL14" s="104"/>
      <c r="AEM14" s="104"/>
      <c r="AEN14" s="215" t="s">
        <v>26</v>
      </c>
      <c r="AEO14" s="215"/>
      <c r="AEP14" s="215"/>
      <c r="AEQ14" s="215"/>
      <c r="AER14" s="129"/>
      <c r="AES14" s="129"/>
      <c r="AET14" s="214" t="s">
        <v>38</v>
      </c>
      <c r="AEU14" s="214"/>
      <c r="AEV14" s="214"/>
      <c r="AEW14" s="214"/>
      <c r="AEX14" s="104"/>
      <c r="AEY14" s="104"/>
      <c r="AEZ14" s="215" t="s">
        <v>27</v>
      </c>
      <c r="AFA14" s="215"/>
      <c r="AFB14" s="215"/>
      <c r="AFC14" s="215"/>
      <c r="AFD14" s="129"/>
      <c r="AFE14" s="129"/>
      <c r="AFF14" s="214" t="s">
        <v>39</v>
      </c>
      <c r="AFG14" s="214"/>
      <c r="AFH14" s="214"/>
      <c r="AFI14" s="214"/>
      <c r="AFJ14" s="104"/>
      <c r="AFK14" s="104"/>
      <c r="AFL14" s="104"/>
      <c r="AFM14" s="105"/>
      <c r="AFN14" s="103"/>
      <c r="AFO14" s="104"/>
      <c r="AFP14" s="104"/>
      <c r="AFQ14" s="104"/>
      <c r="AFR14" s="214" t="s">
        <v>35</v>
      </c>
      <c r="AFS14" s="214"/>
      <c r="AFT14" s="214"/>
      <c r="AFU14" s="214"/>
      <c r="AFV14" s="104"/>
      <c r="AFW14" s="104"/>
      <c r="AFX14" s="215" t="s">
        <v>24</v>
      </c>
      <c r="AFY14" s="215"/>
      <c r="AFZ14" s="215"/>
      <c r="AGA14" s="215"/>
      <c r="AGB14" s="129"/>
      <c r="AGC14" s="129"/>
      <c r="AGD14" s="214" t="s">
        <v>36</v>
      </c>
      <c r="AGE14" s="214"/>
      <c r="AGF14" s="214"/>
      <c r="AGG14" s="214"/>
      <c r="AGH14" s="104"/>
      <c r="AGI14" s="104"/>
      <c r="AGJ14" s="215" t="s">
        <v>25</v>
      </c>
      <c r="AGK14" s="215"/>
      <c r="AGL14" s="215"/>
      <c r="AGM14" s="215"/>
      <c r="AGN14" s="129"/>
      <c r="AGO14" s="129"/>
      <c r="AGP14" s="214" t="s">
        <v>37</v>
      </c>
      <c r="AGQ14" s="214"/>
      <c r="AGR14" s="214"/>
      <c r="AGS14" s="214"/>
      <c r="AGT14" s="104"/>
      <c r="AGU14" s="104"/>
      <c r="AGV14" s="215" t="s">
        <v>26</v>
      </c>
      <c r="AGW14" s="215"/>
      <c r="AGX14" s="215"/>
      <c r="AGY14" s="215"/>
      <c r="AGZ14" s="129"/>
      <c r="AHA14" s="129"/>
      <c r="AHB14" s="214" t="s">
        <v>38</v>
      </c>
      <c r="AHC14" s="214"/>
      <c r="AHD14" s="214"/>
      <c r="AHE14" s="214"/>
      <c r="AHF14" s="104"/>
      <c r="AHG14" s="104"/>
      <c r="AHH14" s="215" t="s">
        <v>27</v>
      </c>
      <c r="AHI14" s="215"/>
      <c r="AHJ14" s="215"/>
      <c r="AHK14" s="215"/>
      <c r="AHL14" s="129"/>
      <c r="AHM14" s="129"/>
      <c r="AHN14" s="214" t="s">
        <v>39</v>
      </c>
      <c r="AHO14" s="214"/>
      <c r="AHP14" s="214"/>
      <c r="AHQ14" s="214"/>
      <c r="AHR14" s="104"/>
      <c r="AHS14" s="104"/>
      <c r="AHT14" s="104"/>
      <c r="AHU14" s="105"/>
      <c r="AHV14" s="103"/>
      <c r="AHW14" s="104"/>
      <c r="AHX14" s="104"/>
      <c r="AHY14" s="104"/>
      <c r="AHZ14" s="214" t="s">
        <v>35</v>
      </c>
      <c r="AIA14" s="214"/>
      <c r="AIB14" s="214"/>
      <c r="AIC14" s="214"/>
      <c r="AID14" s="104"/>
      <c r="AIE14" s="104"/>
      <c r="AIF14" s="215" t="s">
        <v>24</v>
      </c>
      <c r="AIG14" s="215"/>
      <c r="AIH14" s="215"/>
      <c r="AII14" s="215"/>
      <c r="AIJ14" s="129"/>
      <c r="AIK14" s="129"/>
      <c r="AIL14" s="214" t="s">
        <v>36</v>
      </c>
      <c r="AIM14" s="214"/>
      <c r="AIN14" s="214"/>
      <c r="AIO14" s="214"/>
      <c r="AIP14" s="104"/>
      <c r="AIQ14" s="104"/>
      <c r="AIR14" s="215" t="s">
        <v>25</v>
      </c>
      <c r="AIS14" s="215"/>
      <c r="AIT14" s="215"/>
      <c r="AIU14" s="215"/>
      <c r="AIV14" s="129"/>
      <c r="AIW14" s="129"/>
      <c r="AIX14" s="214" t="s">
        <v>37</v>
      </c>
      <c r="AIY14" s="214"/>
      <c r="AIZ14" s="214"/>
      <c r="AJA14" s="214"/>
      <c r="AJB14" s="104"/>
      <c r="AJC14" s="104"/>
      <c r="AJD14" s="215" t="s">
        <v>26</v>
      </c>
      <c r="AJE14" s="215"/>
      <c r="AJF14" s="215"/>
      <c r="AJG14" s="215"/>
      <c r="AJH14" s="129"/>
      <c r="AJI14" s="129"/>
      <c r="AJJ14" s="214" t="s">
        <v>38</v>
      </c>
      <c r="AJK14" s="214"/>
      <c r="AJL14" s="214"/>
      <c r="AJM14" s="214"/>
      <c r="AJN14" s="104"/>
      <c r="AJO14" s="104"/>
      <c r="AJP14" s="215" t="s">
        <v>27</v>
      </c>
      <c r="AJQ14" s="215"/>
      <c r="AJR14" s="215"/>
      <c r="AJS14" s="215"/>
      <c r="AJT14" s="129"/>
      <c r="AJU14" s="129"/>
      <c r="AJV14" s="214" t="s">
        <v>39</v>
      </c>
      <c r="AJW14" s="214"/>
      <c r="AJX14" s="214"/>
      <c r="AJY14" s="214"/>
      <c r="AJZ14" s="104"/>
      <c r="AKA14" s="104"/>
      <c r="AKB14" s="104"/>
      <c r="AKC14" s="105"/>
      <c r="AKD14" s="103"/>
      <c r="AKE14" s="104"/>
      <c r="AKF14" s="104"/>
      <c r="AKG14" s="104"/>
      <c r="AKH14" s="214" t="s">
        <v>35</v>
      </c>
      <c r="AKI14" s="214"/>
      <c r="AKJ14" s="214"/>
      <c r="AKK14" s="214"/>
      <c r="AKL14" s="104"/>
      <c r="AKM14" s="104"/>
      <c r="AKN14" s="215" t="s">
        <v>24</v>
      </c>
      <c r="AKO14" s="215"/>
      <c r="AKP14" s="215"/>
      <c r="AKQ14" s="215"/>
      <c r="AKR14" s="129"/>
      <c r="AKS14" s="129"/>
      <c r="AKT14" s="214" t="s">
        <v>36</v>
      </c>
      <c r="AKU14" s="214"/>
      <c r="AKV14" s="214"/>
      <c r="AKW14" s="214"/>
      <c r="AKX14" s="104"/>
      <c r="AKY14" s="104"/>
      <c r="AKZ14" s="215" t="s">
        <v>25</v>
      </c>
      <c r="ALA14" s="215"/>
      <c r="ALB14" s="215"/>
      <c r="ALC14" s="215"/>
      <c r="ALD14" s="129"/>
      <c r="ALE14" s="129"/>
      <c r="ALF14" s="214" t="s">
        <v>37</v>
      </c>
      <c r="ALG14" s="214"/>
      <c r="ALH14" s="214"/>
      <c r="ALI14" s="214"/>
      <c r="ALJ14" s="104"/>
      <c r="ALK14" s="104"/>
      <c r="ALL14" s="215" t="s">
        <v>26</v>
      </c>
      <c r="ALM14" s="215"/>
      <c r="ALN14" s="215"/>
      <c r="ALO14" s="215"/>
      <c r="ALP14" s="129"/>
      <c r="ALQ14" s="129"/>
      <c r="ALR14" s="214" t="s">
        <v>38</v>
      </c>
      <c r="ALS14" s="214"/>
      <c r="ALT14" s="214"/>
      <c r="ALU14" s="214"/>
      <c r="ALV14" s="104"/>
      <c r="ALW14" s="104"/>
      <c r="ALX14" s="215" t="s">
        <v>27</v>
      </c>
      <c r="ALY14" s="215"/>
      <c r="ALZ14" s="215"/>
      <c r="AMA14" s="215"/>
      <c r="AMB14" s="129"/>
      <c r="AMC14" s="129"/>
      <c r="AMD14" s="214" t="s">
        <v>39</v>
      </c>
      <c r="AME14" s="214"/>
      <c r="AMF14" s="214"/>
      <c r="AMG14" s="214"/>
      <c r="AMH14" s="104"/>
      <c r="AMI14" s="104"/>
      <c r="AMJ14" s="104"/>
      <c r="AMK14" s="105"/>
      <c r="AML14" s="103"/>
      <c r="AMM14" s="104"/>
      <c r="AMN14" s="104"/>
      <c r="AMO14" s="104"/>
      <c r="AMP14" s="214" t="s">
        <v>35</v>
      </c>
      <c r="AMQ14" s="214"/>
      <c r="AMR14" s="214"/>
      <c r="AMS14" s="214"/>
      <c r="AMT14" s="104"/>
      <c r="AMU14" s="104"/>
      <c r="AMV14" s="215" t="s">
        <v>24</v>
      </c>
      <c r="AMW14" s="215"/>
      <c r="AMX14" s="215"/>
      <c r="AMY14" s="215"/>
      <c r="AMZ14" s="129"/>
      <c r="ANA14" s="129"/>
      <c r="ANB14" s="214" t="s">
        <v>36</v>
      </c>
      <c r="ANC14" s="214"/>
      <c r="AND14" s="214"/>
      <c r="ANE14" s="214"/>
      <c r="ANF14" s="104"/>
      <c r="ANG14" s="104"/>
      <c r="ANH14" s="215" t="s">
        <v>25</v>
      </c>
      <c r="ANI14" s="215"/>
      <c r="ANJ14" s="215"/>
      <c r="ANK14" s="215"/>
      <c r="ANL14" s="129"/>
      <c r="ANM14" s="129"/>
      <c r="ANN14" s="214" t="s">
        <v>37</v>
      </c>
      <c r="ANO14" s="214"/>
      <c r="ANP14" s="214"/>
      <c r="ANQ14" s="214"/>
      <c r="ANR14" s="104"/>
      <c r="ANS14" s="104"/>
      <c r="ANT14" s="215" t="s">
        <v>26</v>
      </c>
      <c r="ANU14" s="215"/>
      <c r="ANV14" s="215"/>
      <c r="ANW14" s="215"/>
      <c r="ANX14" s="129"/>
      <c r="ANY14" s="129"/>
      <c r="ANZ14" s="214" t="s">
        <v>38</v>
      </c>
      <c r="AOA14" s="214"/>
      <c r="AOB14" s="214"/>
      <c r="AOC14" s="214"/>
      <c r="AOD14" s="104"/>
      <c r="AOE14" s="104"/>
      <c r="AOF14" s="215" t="s">
        <v>27</v>
      </c>
      <c r="AOG14" s="215"/>
      <c r="AOH14" s="215"/>
      <c r="AOI14" s="215"/>
      <c r="AOJ14" s="129"/>
      <c r="AOK14" s="129"/>
      <c r="AOL14" s="214" t="s">
        <v>39</v>
      </c>
      <c r="AOM14" s="214"/>
      <c r="AON14" s="214"/>
      <c r="AOO14" s="214"/>
      <c r="AOP14" s="104"/>
      <c r="AOQ14" s="104"/>
      <c r="AOR14" s="104"/>
      <c r="AOS14" s="105"/>
      <c r="AOT14" s="103"/>
      <c r="AOU14" s="104"/>
      <c r="AOV14" s="104"/>
      <c r="AOW14" s="104"/>
      <c r="AOX14" s="214" t="s">
        <v>35</v>
      </c>
      <c r="AOY14" s="214"/>
      <c r="AOZ14" s="214"/>
      <c r="APA14" s="214"/>
      <c r="APB14" s="104"/>
      <c r="APC14" s="104"/>
      <c r="APD14" s="215" t="s">
        <v>24</v>
      </c>
      <c r="APE14" s="215"/>
      <c r="APF14" s="215"/>
      <c r="APG14" s="215"/>
      <c r="APH14" s="129"/>
      <c r="API14" s="129"/>
      <c r="APJ14" s="214" t="s">
        <v>36</v>
      </c>
      <c r="APK14" s="214"/>
      <c r="APL14" s="214"/>
      <c r="APM14" s="214"/>
      <c r="APN14" s="104"/>
      <c r="APO14" s="104"/>
      <c r="APP14" s="215" t="s">
        <v>25</v>
      </c>
      <c r="APQ14" s="215"/>
      <c r="APR14" s="215"/>
      <c r="APS14" s="215"/>
      <c r="APT14" s="129"/>
      <c r="APU14" s="129"/>
      <c r="APV14" s="214" t="s">
        <v>37</v>
      </c>
      <c r="APW14" s="214"/>
      <c r="APX14" s="214"/>
      <c r="APY14" s="214"/>
      <c r="APZ14" s="104"/>
      <c r="AQA14" s="104"/>
      <c r="AQB14" s="215" t="s">
        <v>26</v>
      </c>
      <c r="AQC14" s="215"/>
      <c r="AQD14" s="215"/>
      <c r="AQE14" s="215"/>
      <c r="AQF14" s="129"/>
      <c r="AQG14" s="129"/>
      <c r="AQH14" s="214" t="s">
        <v>38</v>
      </c>
      <c r="AQI14" s="214"/>
      <c r="AQJ14" s="214"/>
      <c r="AQK14" s="214"/>
      <c r="AQL14" s="104"/>
      <c r="AQM14" s="104"/>
      <c r="AQN14" s="215" t="s">
        <v>27</v>
      </c>
      <c r="AQO14" s="215"/>
      <c r="AQP14" s="215"/>
      <c r="AQQ14" s="215"/>
      <c r="AQR14" s="129"/>
      <c r="AQS14" s="129"/>
      <c r="AQT14" s="214" t="s">
        <v>39</v>
      </c>
      <c r="AQU14" s="214"/>
      <c r="AQV14" s="214"/>
      <c r="AQW14" s="214"/>
      <c r="AQX14" s="104"/>
      <c r="AQY14" s="104"/>
      <c r="AQZ14" s="104"/>
      <c r="ARA14" s="105"/>
      <c r="ARB14" s="103"/>
      <c r="ARC14" s="104"/>
      <c r="ARD14" s="104"/>
      <c r="ARE14" s="104"/>
      <c r="ARF14" s="214" t="s">
        <v>35</v>
      </c>
      <c r="ARG14" s="214"/>
      <c r="ARH14" s="214"/>
      <c r="ARI14" s="214"/>
      <c r="ARJ14" s="104"/>
      <c r="ARK14" s="104"/>
      <c r="ARL14" s="215" t="s">
        <v>24</v>
      </c>
      <c r="ARM14" s="215"/>
      <c r="ARN14" s="215"/>
      <c r="ARO14" s="215"/>
      <c r="ARP14" s="129"/>
      <c r="ARQ14" s="129"/>
      <c r="ARR14" s="214" t="s">
        <v>36</v>
      </c>
      <c r="ARS14" s="214"/>
      <c r="ART14" s="214"/>
      <c r="ARU14" s="214"/>
      <c r="ARV14" s="104"/>
      <c r="ARW14" s="104"/>
      <c r="ARX14" s="215" t="s">
        <v>25</v>
      </c>
      <c r="ARY14" s="215"/>
      <c r="ARZ14" s="215"/>
      <c r="ASA14" s="215"/>
      <c r="ASB14" s="129"/>
      <c r="ASC14" s="129"/>
      <c r="ASD14" s="214" t="s">
        <v>37</v>
      </c>
      <c r="ASE14" s="214"/>
      <c r="ASF14" s="214"/>
      <c r="ASG14" s="214"/>
      <c r="ASH14" s="104"/>
      <c r="ASI14" s="104"/>
      <c r="ASJ14" s="215" t="s">
        <v>26</v>
      </c>
      <c r="ASK14" s="215"/>
      <c r="ASL14" s="215"/>
      <c r="ASM14" s="215"/>
      <c r="ASN14" s="129"/>
      <c r="ASO14" s="129"/>
      <c r="ASP14" s="214" t="s">
        <v>38</v>
      </c>
      <c r="ASQ14" s="214"/>
      <c r="ASR14" s="214"/>
      <c r="ASS14" s="214"/>
      <c r="AST14" s="104"/>
      <c r="ASU14" s="104"/>
      <c r="ASV14" s="215" t="s">
        <v>27</v>
      </c>
      <c r="ASW14" s="215"/>
      <c r="ASX14" s="215"/>
      <c r="ASY14" s="215"/>
      <c r="ASZ14" s="129"/>
      <c r="ATA14" s="129"/>
      <c r="ATB14" s="214" t="s">
        <v>39</v>
      </c>
      <c r="ATC14" s="214"/>
      <c r="ATD14" s="214"/>
      <c r="ATE14" s="214"/>
      <c r="ATF14" s="104"/>
      <c r="ATG14" s="104"/>
      <c r="ATH14" s="104"/>
      <c r="ATI14" s="105"/>
      <c r="ATJ14" s="103"/>
      <c r="ATK14" s="104"/>
      <c r="ATL14" s="104"/>
      <c r="ATM14" s="104"/>
      <c r="ATN14" s="214" t="s">
        <v>35</v>
      </c>
      <c r="ATO14" s="214"/>
      <c r="ATP14" s="214"/>
      <c r="ATQ14" s="214"/>
      <c r="ATR14" s="104"/>
      <c r="ATS14" s="104"/>
      <c r="ATT14" s="215" t="s">
        <v>24</v>
      </c>
      <c r="ATU14" s="215"/>
      <c r="ATV14" s="215"/>
      <c r="ATW14" s="215"/>
      <c r="ATX14" s="129"/>
      <c r="ATY14" s="129"/>
      <c r="ATZ14" s="214" t="s">
        <v>36</v>
      </c>
      <c r="AUA14" s="214"/>
      <c r="AUB14" s="214"/>
      <c r="AUC14" s="214"/>
      <c r="AUD14" s="104"/>
      <c r="AUE14" s="104"/>
      <c r="AUF14" s="215" t="s">
        <v>25</v>
      </c>
      <c r="AUG14" s="215"/>
      <c r="AUH14" s="215"/>
      <c r="AUI14" s="215"/>
      <c r="AUJ14" s="129"/>
      <c r="AUK14" s="129"/>
      <c r="AUL14" s="214" t="s">
        <v>37</v>
      </c>
      <c r="AUM14" s="214"/>
      <c r="AUN14" s="214"/>
      <c r="AUO14" s="214"/>
      <c r="AUP14" s="104"/>
      <c r="AUQ14" s="104"/>
      <c r="AUR14" s="215" t="s">
        <v>26</v>
      </c>
      <c r="AUS14" s="215"/>
      <c r="AUT14" s="215"/>
      <c r="AUU14" s="215"/>
      <c r="AUV14" s="129"/>
      <c r="AUW14" s="129"/>
      <c r="AUX14" s="214" t="s">
        <v>38</v>
      </c>
      <c r="AUY14" s="214"/>
      <c r="AUZ14" s="214"/>
      <c r="AVA14" s="214"/>
      <c r="AVB14" s="104"/>
      <c r="AVC14" s="104"/>
      <c r="AVD14" s="215" t="s">
        <v>27</v>
      </c>
      <c r="AVE14" s="215"/>
      <c r="AVF14" s="215"/>
      <c r="AVG14" s="215"/>
      <c r="AVH14" s="129"/>
      <c r="AVI14" s="129"/>
      <c r="AVJ14" s="214" t="s">
        <v>39</v>
      </c>
      <c r="AVK14" s="214"/>
      <c r="AVL14" s="214"/>
      <c r="AVM14" s="214"/>
      <c r="AVN14" s="104"/>
      <c r="AVO14" s="104"/>
      <c r="AVP14" s="104"/>
      <c r="AVQ14" s="105"/>
      <c r="AVR14" s="103"/>
      <c r="AVS14" s="104"/>
      <c r="AVT14" s="104"/>
      <c r="AVU14" s="104"/>
      <c r="AVV14" s="214" t="s">
        <v>35</v>
      </c>
      <c r="AVW14" s="214"/>
      <c r="AVX14" s="214"/>
      <c r="AVY14" s="214"/>
      <c r="AVZ14" s="104"/>
      <c r="AWA14" s="104"/>
      <c r="AWB14" s="215" t="s">
        <v>24</v>
      </c>
      <c r="AWC14" s="215"/>
      <c r="AWD14" s="215"/>
      <c r="AWE14" s="215"/>
      <c r="AWF14" s="129"/>
      <c r="AWG14" s="129"/>
      <c r="AWH14" s="214" t="s">
        <v>36</v>
      </c>
      <c r="AWI14" s="214"/>
      <c r="AWJ14" s="214"/>
      <c r="AWK14" s="214"/>
      <c r="AWL14" s="104"/>
      <c r="AWM14" s="104"/>
      <c r="AWN14" s="215" t="s">
        <v>25</v>
      </c>
      <c r="AWO14" s="215"/>
      <c r="AWP14" s="215"/>
      <c r="AWQ14" s="215"/>
      <c r="AWR14" s="129"/>
      <c r="AWS14" s="129"/>
      <c r="AWT14" s="214" t="s">
        <v>37</v>
      </c>
      <c r="AWU14" s="214"/>
      <c r="AWV14" s="214"/>
      <c r="AWW14" s="214"/>
      <c r="AWX14" s="104"/>
      <c r="AWY14" s="104"/>
      <c r="AWZ14" s="215" t="s">
        <v>26</v>
      </c>
      <c r="AXA14" s="215"/>
      <c r="AXB14" s="215"/>
      <c r="AXC14" s="215"/>
      <c r="AXD14" s="129"/>
      <c r="AXE14" s="129"/>
      <c r="AXF14" s="214" t="s">
        <v>38</v>
      </c>
      <c r="AXG14" s="214"/>
      <c r="AXH14" s="214"/>
      <c r="AXI14" s="214"/>
      <c r="AXJ14" s="104"/>
      <c r="AXK14" s="104"/>
      <c r="AXL14" s="215" t="s">
        <v>27</v>
      </c>
      <c r="AXM14" s="215"/>
      <c r="AXN14" s="215"/>
      <c r="AXO14" s="215"/>
      <c r="AXP14" s="129"/>
      <c r="AXQ14" s="129"/>
      <c r="AXR14" s="214" t="s">
        <v>39</v>
      </c>
      <c r="AXS14" s="214"/>
      <c r="AXT14" s="214"/>
      <c r="AXU14" s="214"/>
      <c r="AXV14" s="104"/>
      <c r="AXW14" s="104"/>
      <c r="AXX14" s="104"/>
      <c r="AXY14" s="105"/>
      <c r="AXZ14" s="103"/>
      <c r="AYA14" s="104"/>
      <c r="AYB14" s="104"/>
      <c r="AYC14" s="104"/>
      <c r="AYD14" s="214" t="s">
        <v>35</v>
      </c>
      <c r="AYE14" s="214"/>
      <c r="AYF14" s="214"/>
      <c r="AYG14" s="214"/>
      <c r="AYH14" s="104"/>
      <c r="AYI14" s="104"/>
      <c r="AYJ14" s="215" t="s">
        <v>24</v>
      </c>
      <c r="AYK14" s="215"/>
      <c r="AYL14" s="215"/>
      <c r="AYM14" s="215"/>
      <c r="AYN14" s="129"/>
      <c r="AYO14" s="129"/>
      <c r="AYP14" s="214" t="s">
        <v>36</v>
      </c>
      <c r="AYQ14" s="214"/>
      <c r="AYR14" s="214"/>
      <c r="AYS14" s="214"/>
      <c r="AYT14" s="104"/>
      <c r="AYU14" s="104"/>
      <c r="AYV14" s="215" t="s">
        <v>25</v>
      </c>
      <c r="AYW14" s="215"/>
      <c r="AYX14" s="215"/>
      <c r="AYY14" s="215"/>
      <c r="AYZ14" s="129"/>
      <c r="AZA14" s="129"/>
      <c r="AZB14" s="214" t="s">
        <v>37</v>
      </c>
      <c r="AZC14" s="214"/>
      <c r="AZD14" s="214"/>
      <c r="AZE14" s="214"/>
      <c r="AZF14" s="104"/>
      <c r="AZG14" s="104"/>
      <c r="AZH14" s="215" t="s">
        <v>26</v>
      </c>
      <c r="AZI14" s="215"/>
      <c r="AZJ14" s="215"/>
      <c r="AZK14" s="215"/>
      <c r="AZL14" s="129"/>
      <c r="AZM14" s="129"/>
      <c r="AZN14" s="214" t="s">
        <v>38</v>
      </c>
      <c r="AZO14" s="214"/>
      <c r="AZP14" s="214"/>
      <c r="AZQ14" s="214"/>
      <c r="AZR14" s="104"/>
      <c r="AZS14" s="104"/>
      <c r="AZT14" s="215" t="s">
        <v>27</v>
      </c>
      <c r="AZU14" s="215"/>
      <c r="AZV14" s="215"/>
      <c r="AZW14" s="215"/>
      <c r="AZX14" s="129"/>
      <c r="AZY14" s="129"/>
      <c r="AZZ14" s="214" t="s">
        <v>39</v>
      </c>
      <c r="BAA14" s="214"/>
      <c r="BAB14" s="214"/>
      <c r="BAC14" s="214"/>
      <c r="BAD14" s="104"/>
      <c r="BAE14" s="104"/>
      <c r="BAF14" s="104"/>
      <c r="BAG14" s="105"/>
      <c r="BAH14" s="103"/>
      <c r="BAI14" s="104"/>
      <c r="BAJ14" s="104"/>
      <c r="BAK14" s="104"/>
      <c r="BAL14" s="214" t="s">
        <v>35</v>
      </c>
      <c r="BAM14" s="214"/>
      <c r="BAN14" s="214"/>
      <c r="BAO14" s="214"/>
      <c r="BAP14" s="104"/>
      <c r="BAQ14" s="104"/>
      <c r="BAR14" s="215" t="s">
        <v>24</v>
      </c>
      <c r="BAS14" s="215"/>
      <c r="BAT14" s="215"/>
      <c r="BAU14" s="215"/>
      <c r="BAV14" s="129"/>
      <c r="BAW14" s="129"/>
      <c r="BAX14" s="214" t="s">
        <v>36</v>
      </c>
      <c r="BAY14" s="214"/>
      <c r="BAZ14" s="214"/>
      <c r="BBA14" s="214"/>
      <c r="BBB14" s="104"/>
      <c r="BBC14" s="104"/>
      <c r="BBD14" s="215" t="s">
        <v>25</v>
      </c>
      <c r="BBE14" s="215"/>
      <c r="BBF14" s="215"/>
      <c r="BBG14" s="215"/>
      <c r="BBH14" s="129"/>
      <c r="BBI14" s="129"/>
      <c r="BBJ14" s="214" t="s">
        <v>37</v>
      </c>
      <c r="BBK14" s="214"/>
      <c r="BBL14" s="214"/>
      <c r="BBM14" s="214"/>
      <c r="BBN14" s="104"/>
      <c r="BBO14" s="104"/>
      <c r="BBP14" s="215" t="s">
        <v>26</v>
      </c>
      <c r="BBQ14" s="215"/>
      <c r="BBR14" s="215"/>
      <c r="BBS14" s="215"/>
      <c r="BBT14" s="129"/>
      <c r="BBU14" s="129"/>
      <c r="BBV14" s="214" t="s">
        <v>38</v>
      </c>
      <c r="BBW14" s="214"/>
      <c r="BBX14" s="214"/>
      <c r="BBY14" s="214"/>
      <c r="BBZ14" s="104"/>
      <c r="BCA14" s="104"/>
      <c r="BCB14" s="215" t="s">
        <v>27</v>
      </c>
      <c r="BCC14" s="215"/>
      <c r="BCD14" s="215"/>
      <c r="BCE14" s="215"/>
      <c r="BCF14" s="129"/>
      <c r="BCG14" s="129"/>
      <c r="BCH14" s="214" t="s">
        <v>39</v>
      </c>
      <c r="BCI14" s="214"/>
      <c r="BCJ14" s="214"/>
      <c r="BCK14" s="214"/>
      <c r="BCL14" s="104"/>
      <c r="BCM14" s="104"/>
      <c r="BCN14" s="104"/>
      <c r="BCO14" s="105"/>
      <c r="BCP14" s="103"/>
      <c r="BCQ14" s="104"/>
      <c r="BCR14" s="104"/>
      <c r="BCS14" s="104"/>
      <c r="BCT14" s="214" t="s">
        <v>35</v>
      </c>
      <c r="BCU14" s="214"/>
      <c r="BCV14" s="214"/>
      <c r="BCW14" s="214"/>
      <c r="BCX14" s="104"/>
      <c r="BCY14" s="104"/>
      <c r="BCZ14" s="215" t="s">
        <v>24</v>
      </c>
      <c r="BDA14" s="215"/>
      <c r="BDB14" s="215"/>
      <c r="BDC14" s="215"/>
      <c r="BDD14" s="129"/>
      <c r="BDE14" s="129"/>
      <c r="BDF14" s="214" t="s">
        <v>36</v>
      </c>
      <c r="BDG14" s="214"/>
      <c r="BDH14" s="214"/>
      <c r="BDI14" s="214"/>
      <c r="BDJ14" s="104"/>
      <c r="BDK14" s="104"/>
      <c r="BDL14" s="215" t="s">
        <v>25</v>
      </c>
      <c r="BDM14" s="215"/>
      <c r="BDN14" s="215"/>
      <c r="BDO14" s="215"/>
      <c r="BDP14" s="129"/>
      <c r="BDQ14" s="129"/>
      <c r="BDR14" s="214" t="s">
        <v>37</v>
      </c>
      <c r="BDS14" s="214"/>
      <c r="BDT14" s="214"/>
      <c r="BDU14" s="214"/>
      <c r="BDV14" s="104"/>
      <c r="BDW14" s="104"/>
      <c r="BDX14" s="215" t="s">
        <v>26</v>
      </c>
      <c r="BDY14" s="215"/>
      <c r="BDZ14" s="215"/>
      <c r="BEA14" s="215"/>
      <c r="BEB14" s="129"/>
      <c r="BEC14" s="129"/>
      <c r="BED14" s="214" t="s">
        <v>38</v>
      </c>
      <c r="BEE14" s="214"/>
      <c r="BEF14" s="214"/>
      <c r="BEG14" s="214"/>
      <c r="BEH14" s="104"/>
      <c r="BEI14" s="104"/>
      <c r="BEJ14" s="215" t="s">
        <v>27</v>
      </c>
      <c r="BEK14" s="215"/>
      <c r="BEL14" s="215"/>
      <c r="BEM14" s="215"/>
      <c r="BEN14" s="129"/>
      <c r="BEO14" s="129"/>
      <c r="BEP14" s="214" t="s">
        <v>39</v>
      </c>
      <c r="BEQ14" s="214"/>
      <c r="BER14" s="214"/>
      <c r="BES14" s="214"/>
      <c r="BET14" s="104"/>
      <c r="BEU14" s="104"/>
      <c r="BEV14" s="104"/>
      <c r="BEW14" s="105"/>
      <c r="BEX14" s="103"/>
      <c r="BEY14" s="104"/>
      <c r="BEZ14" s="104"/>
      <c r="BFA14" s="104"/>
      <c r="BFB14" s="214" t="s">
        <v>35</v>
      </c>
      <c r="BFC14" s="214"/>
      <c r="BFD14" s="214"/>
      <c r="BFE14" s="214"/>
      <c r="BFF14" s="104"/>
      <c r="BFG14" s="104"/>
      <c r="BFH14" s="215" t="s">
        <v>24</v>
      </c>
      <c r="BFI14" s="215"/>
      <c r="BFJ14" s="215"/>
      <c r="BFK14" s="215"/>
      <c r="BFL14" s="129"/>
      <c r="BFM14" s="129"/>
      <c r="BFN14" s="214" t="s">
        <v>36</v>
      </c>
      <c r="BFO14" s="214"/>
      <c r="BFP14" s="214"/>
      <c r="BFQ14" s="214"/>
      <c r="BFR14" s="104"/>
      <c r="BFS14" s="104"/>
      <c r="BFT14" s="215" t="s">
        <v>25</v>
      </c>
      <c r="BFU14" s="215"/>
      <c r="BFV14" s="215"/>
      <c r="BFW14" s="215"/>
      <c r="BFX14" s="129"/>
      <c r="BFY14" s="129"/>
      <c r="BFZ14" s="214" t="s">
        <v>37</v>
      </c>
      <c r="BGA14" s="214"/>
      <c r="BGB14" s="214"/>
      <c r="BGC14" s="214"/>
      <c r="BGD14" s="104"/>
      <c r="BGE14" s="104"/>
      <c r="BGF14" s="215" t="s">
        <v>26</v>
      </c>
      <c r="BGG14" s="215"/>
      <c r="BGH14" s="215"/>
      <c r="BGI14" s="215"/>
      <c r="BGJ14" s="129"/>
      <c r="BGK14" s="129"/>
      <c r="BGL14" s="214" t="s">
        <v>38</v>
      </c>
      <c r="BGM14" s="214"/>
      <c r="BGN14" s="214"/>
      <c r="BGO14" s="214"/>
      <c r="BGP14" s="104"/>
      <c r="BGQ14" s="104"/>
      <c r="BGR14" s="215" t="s">
        <v>27</v>
      </c>
      <c r="BGS14" s="215"/>
      <c r="BGT14" s="215"/>
      <c r="BGU14" s="215"/>
      <c r="BGV14" s="129"/>
      <c r="BGW14" s="129"/>
      <c r="BGX14" s="214" t="s">
        <v>39</v>
      </c>
      <c r="BGY14" s="214"/>
      <c r="BGZ14" s="214"/>
      <c r="BHA14" s="214"/>
      <c r="BHB14" s="104"/>
      <c r="BHC14" s="104"/>
      <c r="BHD14" s="104"/>
      <c r="BHE14" s="105"/>
      <c r="BHF14" s="90"/>
    </row>
    <row r="15" spans="1:1866" ht="20.100000000000001" customHeight="1" x14ac:dyDescent="0.25">
      <c r="A15" s="100" t="s">
        <v>20</v>
      </c>
      <c r="B15" s="63" t="str">
        <f>IF(LEN(C15)=0,"",C15)</f>
        <v xml:space="preserve">Absences - imprévus </v>
      </c>
      <c r="C15" s="23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5"/>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5"/>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5"/>
      <c r="D22" s="147" t="str">
        <f t="shared" si="0"/>
        <v>3h35min</v>
      </c>
      <c r="E22" s="35">
        <v>43</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5"/>
      <c r="D24" s="147" t="str">
        <f t="shared" si="0"/>
        <v>26h10min</v>
      </c>
      <c r="E24" s="27">
        <v>314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2"/>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4"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5"/>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4"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4"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24"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25"/>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4"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5"/>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2"/>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4"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5"/>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4"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5"/>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4"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5"/>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4"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5"/>
      <c r="D44" s="148" t="str">
        <f t="shared" si="0"/>
        <v>3h20min</v>
      </c>
      <c r="E44" s="35">
        <v>40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4"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4"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4"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5"/>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4"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5"/>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4"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5"/>
      <c r="D54" s="148" t="str">
        <f t="shared" si="0"/>
        <v>1h25min</v>
      </c>
      <c r="E54" s="35">
        <v>17</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191"/>
      <c r="ANS54" s="191"/>
      <c r="ANT54" s="192"/>
      <c r="ANU54" s="198"/>
      <c r="ANV54" s="192"/>
      <c r="ANW54" s="192"/>
      <c r="ANX54" s="192"/>
      <c r="ANY54" s="192"/>
      <c r="ANZ54" s="192"/>
      <c r="AOA54" s="200"/>
      <c r="AOB54" s="37"/>
      <c r="AOC54" s="37"/>
      <c r="AOD54" s="37"/>
      <c r="AOE54" s="37"/>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6" t="s">
        <v>9</v>
      </c>
      <c r="D95" s="217"/>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8"/>
      <c r="D96" s="219"/>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0" t="s">
        <v>10</v>
      </c>
      <c r="D97" s="221"/>
      <c r="E97" s="118">
        <f>SUM(E16,E18,E20,E22,E24,E26,E28,E30,E32,E34,E36,E38,E40,E42,E44,E46,E48,E50,E52,E54,E56,E58,E60,E62,E64,E66,E68,E70,E72,E74,E76,E78,E80,E82,E84,E86,E88,E90,E92,E94)</f>
        <v>768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2"/>
      <c r="D98" s="223"/>
      <c r="E98" s="122" t="str">
        <f xml:space="preserve"> setValueToTime(E97)</f>
        <v>64h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1" t="s">
        <v>14</v>
      </c>
      <c r="F3" s="242"/>
      <c r="G3" s="46"/>
    </row>
    <row r="4" spans="1:7" s="52" customFormat="1" x14ac:dyDescent="0.3">
      <c r="A4" s="48" t="s">
        <v>16</v>
      </c>
      <c r="B4" s="49">
        <v>36</v>
      </c>
      <c r="C4" s="152" t="str">
        <f xml:space="preserve"> IF(B4="","",setValueToTime(B4))</f>
        <v>3h</v>
      </c>
      <c r="D4" s="50"/>
      <c r="E4" s="243"/>
      <c r="F4" s="244"/>
      <c r="G4" s="51"/>
    </row>
    <row r="5" spans="1:7" s="52" customFormat="1" ht="15" thickBot="1" x14ac:dyDescent="0.35">
      <c r="A5" s="54" t="s">
        <v>17</v>
      </c>
      <c r="B5" s="54">
        <v>2</v>
      </c>
      <c r="C5" s="153" t="str">
        <f t="shared" ref="C5" si="0" xml:space="preserve"> IF(B5="","",setValueToTime(B5))</f>
        <v>0h10min</v>
      </c>
      <c r="D5" s="55"/>
      <c r="E5" s="245"/>
      <c r="F5" s="246"/>
      <c r="G5" s="51"/>
    </row>
    <row r="6" spans="1:7" s="52" customFormat="1" ht="15" thickBot="1" x14ac:dyDescent="0.35">
      <c r="A6" s="111" t="s">
        <v>29</v>
      </c>
      <c r="B6" s="84">
        <f>SUM(B4:B5)</f>
        <v>38</v>
      </c>
      <c r="C6" s="111" t="str">
        <f xml:space="preserve"> setValueToTime(B6)</f>
        <v>3h10min</v>
      </c>
      <c r="D6" s="120"/>
      <c r="E6" s="247"/>
      <c r="F6" s="248"/>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1" t="s">
        <v>14</v>
      </c>
      <c r="F9" s="242"/>
      <c r="G9" s="46"/>
    </row>
    <row r="10" spans="1:7" s="52" customFormat="1" x14ac:dyDescent="0.3">
      <c r="A10" s="48" t="s">
        <v>16</v>
      </c>
      <c r="B10" s="49">
        <v>36</v>
      </c>
      <c r="C10" s="152" t="str">
        <f xml:space="preserve"> IF(B10="","",setValueToTime(B10))</f>
        <v>3h</v>
      </c>
      <c r="D10" s="50"/>
      <c r="E10" s="243"/>
      <c r="F10" s="244"/>
      <c r="G10" s="51"/>
    </row>
    <row r="11" spans="1:7" s="52" customFormat="1" ht="15" thickBot="1" x14ac:dyDescent="0.35">
      <c r="A11" s="54" t="s">
        <v>17</v>
      </c>
      <c r="B11" s="54">
        <v>2</v>
      </c>
      <c r="C11" s="153" t="str">
        <f t="shared" ref="C11" si="1" xml:space="preserve"> IF(B11="","",setValueToTime(B11))</f>
        <v>0h10min</v>
      </c>
      <c r="D11" s="55"/>
      <c r="E11" s="245"/>
      <c r="F11" s="246"/>
      <c r="G11" s="51"/>
    </row>
    <row r="12" spans="1:7" s="52" customFormat="1" ht="15" thickBot="1" x14ac:dyDescent="0.35">
      <c r="A12" s="111" t="s">
        <v>29</v>
      </c>
      <c r="B12" s="84">
        <f>SUM(B10:B11)</f>
        <v>38</v>
      </c>
      <c r="C12" s="111" t="str">
        <f xml:space="preserve"> setValueToTime(B12)</f>
        <v>3h10min</v>
      </c>
      <c r="D12" s="120"/>
      <c r="E12" s="247"/>
      <c r="F12" s="248"/>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1" t="s">
        <v>14</v>
      </c>
      <c r="F15" s="242"/>
      <c r="G15" s="46"/>
    </row>
    <row r="16" spans="1:7" s="52" customFormat="1" x14ac:dyDescent="0.3">
      <c r="A16" s="48" t="s">
        <v>16</v>
      </c>
      <c r="B16" s="49">
        <v>46</v>
      </c>
      <c r="C16" s="152" t="str">
        <f xml:space="preserve"> IF(B16="","",setValueToTime(B16))</f>
        <v>3h50min</v>
      </c>
      <c r="D16" s="50"/>
      <c r="E16" s="243"/>
      <c r="F16" s="244"/>
      <c r="G16" s="51"/>
    </row>
    <row r="17" spans="1:7" s="52" customFormat="1" ht="15" thickBot="1" x14ac:dyDescent="0.35">
      <c r="A17" s="54" t="s">
        <v>17</v>
      </c>
      <c r="B17" s="54">
        <v>2</v>
      </c>
      <c r="C17" s="153" t="str">
        <f t="shared" ref="C17" si="2" xml:space="preserve"> IF(B17="","",setValueToTime(B17))</f>
        <v>0h10min</v>
      </c>
      <c r="D17" s="55"/>
      <c r="E17" s="245"/>
      <c r="F17" s="246"/>
      <c r="G17" s="51"/>
    </row>
    <row r="18" spans="1:7" s="52" customFormat="1" ht="15" thickBot="1" x14ac:dyDescent="0.35">
      <c r="A18" s="111" t="s">
        <v>29</v>
      </c>
      <c r="B18" s="84">
        <f>SUM(B16:B17)</f>
        <v>48</v>
      </c>
      <c r="C18" s="111" t="str">
        <f xml:space="preserve"> setValueToTime(B18)</f>
        <v>4h</v>
      </c>
      <c r="D18" s="120"/>
      <c r="E18" s="247"/>
      <c r="F18" s="248"/>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1" t="s">
        <v>14</v>
      </c>
      <c r="F21" s="242"/>
      <c r="G21" s="46"/>
    </row>
    <row r="22" spans="1:7" s="52" customFormat="1" ht="27" x14ac:dyDescent="0.3">
      <c r="A22" s="48" t="s">
        <v>98</v>
      </c>
      <c r="B22" s="49">
        <v>34</v>
      </c>
      <c r="C22" s="152" t="str">
        <f xml:space="preserve"> IF(B22="","",setValueToTime(B22))</f>
        <v>2h50min</v>
      </c>
      <c r="D22" s="50"/>
      <c r="E22" s="243"/>
      <c r="F22" s="244"/>
      <c r="G22" s="51"/>
    </row>
    <row r="23" spans="1:7" s="52" customFormat="1" x14ac:dyDescent="0.3">
      <c r="A23" s="53" t="s">
        <v>99</v>
      </c>
      <c r="B23" s="54">
        <v>10</v>
      </c>
      <c r="C23" s="153" t="str">
        <f t="shared" ref="C23:C25" si="3" xml:space="preserve"> IF(B23="","",setValueToTime(B23))</f>
        <v>0h50min</v>
      </c>
      <c r="D23" s="55"/>
      <c r="E23" s="245"/>
      <c r="F23" s="246"/>
      <c r="G23" s="51"/>
    </row>
    <row r="24" spans="1:7" s="52" customFormat="1" x14ac:dyDescent="0.3">
      <c r="A24" s="54" t="s">
        <v>17</v>
      </c>
      <c r="B24" s="54">
        <v>2</v>
      </c>
      <c r="C24" s="154" t="str">
        <f t="shared" si="3"/>
        <v>0h10min</v>
      </c>
      <c r="D24" s="55"/>
      <c r="E24" s="245"/>
      <c r="F24" s="246"/>
      <c r="G24" s="51"/>
    </row>
    <row r="25" spans="1:7" s="52" customFormat="1" ht="15" thickBot="1" x14ac:dyDescent="0.35">
      <c r="A25" s="56" t="s">
        <v>16</v>
      </c>
      <c r="B25" s="56">
        <v>2</v>
      </c>
      <c r="C25" s="155" t="str">
        <f t="shared" si="3"/>
        <v>0h10min</v>
      </c>
      <c r="D25" s="57"/>
      <c r="E25" s="249"/>
      <c r="F25" s="250"/>
      <c r="G25" s="51"/>
    </row>
    <row r="26" spans="1:7" s="52" customFormat="1" ht="15" thickBot="1" x14ac:dyDescent="0.35">
      <c r="A26" s="111" t="s">
        <v>29</v>
      </c>
      <c r="B26" s="84">
        <f>SUM(B22:B25)</f>
        <v>48</v>
      </c>
      <c r="C26" s="111" t="str">
        <f xml:space="preserve"> setValueToTime(B26)</f>
        <v>4h</v>
      </c>
      <c r="D26" s="120"/>
      <c r="E26" s="247"/>
      <c r="F26" s="248"/>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1" t="s">
        <v>14</v>
      </c>
      <c r="F29" s="242"/>
      <c r="G29" s="46"/>
    </row>
    <row r="30" spans="1:7" s="52" customFormat="1" ht="27" x14ac:dyDescent="0.3">
      <c r="A30" s="48" t="s">
        <v>97</v>
      </c>
      <c r="B30" s="49">
        <v>24</v>
      </c>
      <c r="C30" s="152" t="str">
        <f xml:space="preserve"> IF(B30="","",setValueToTime(B30))</f>
        <v>2h</v>
      </c>
      <c r="D30" s="50"/>
      <c r="E30" s="243"/>
      <c r="F30" s="244"/>
      <c r="G30" s="51"/>
    </row>
    <row r="31" spans="1:7" s="52" customFormat="1" ht="27" x14ac:dyDescent="0.3">
      <c r="A31" s="53" t="s">
        <v>98</v>
      </c>
      <c r="B31" s="54">
        <v>20</v>
      </c>
      <c r="C31" s="153" t="str">
        <f t="shared" ref="C31:C33" si="4" xml:space="preserve"> IF(B31="","",setValueToTime(B31))</f>
        <v>1h40min</v>
      </c>
      <c r="D31" s="55"/>
      <c r="E31" s="245"/>
      <c r="F31" s="246"/>
      <c r="G31" s="51"/>
    </row>
    <row r="32" spans="1:7" s="52" customFormat="1" x14ac:dyDescent="0.3">
      <c r="A32" s="54" t="s">
        <v>17</v>
      </c>
      <c r="B32" s="54">
        <v>2</v>
      </c>
      <c r="C32" s="154" t="str">
        <f t="shared" si="4"/>
        <v>0h10min</v>
      </c>
      <c r="D32" s="55"/>
      <c r="E32" s="245"/>
      <c r="F32" s="246"/>
      <c r="G32" s="51"/>
    </row>
    <row r="33" spans="1:7" s="52" customFormat="1" ht="15" thickBot="1" x14ac:dyDescent="0.35">
      <c r="A33" s="56" t="s">
        <v>16</v>
      </c>
      <c r="B33" s="56">
        <v>2</v>
      </c>
      <c r="C33" s="155" t="str">
        <f t="shared" si="4"/>
        <v>0h10min</v>
      </c>
      <c r="D33" s="57"/>
      <c r="E33" s="249"/>
      <c r="F33" s="250"/>
      <c r="G33" s="51"/>
    </row>
    <row r="34" spans="1:7" s="52" customFormat="1" ht="15" thickBot="1" x14ac:dyDescent="0.35">
      <c r="A34" s="111" t="s">
        <v>29</v>
      </c>
      <c r="B34" s="84">
        <f>SUM(B30:B33)</f>
        <v>48</v>
      </c>
      <c r="C34" s="111" t="str">
        <f xml:space="preserve"> setValueToTime(B34)</f>
        <v>4h</v>
      </c>
      <c r="D34" s="120"/>
      <c r="E34" s="247"/>
      <c r="F34" s="248"/>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1" t="s">
        <v>14</v>
      </c>
      <c r="F37" s="242"/>
      <c r="G37" s="46"/>
    </row>
    <row r="38" spans="1:7" s="52" customFormat="1" ht="27" x14ac:dyDescent="0.3">
      <c r="A38" s="48" t="s">
        <v>97</v>
      </c>
      <c r="B38" s="49">
        <v>34</v>
      </c>
      <c r="C38" s="152" t="str">
        <f xml:space="preserve"> IF(B38="","",setValueToTime(B38))</f>
        <v>2h50min</v>
      </c>
      <c r="D38" s="50"/>
      <c r="E38" s="243"/>
      <c r="F38" s="244"/>
      <c r="G38" s="51"/>
    </row>
    <row r="39" spans="1:7" s="52" customFormat="1" x14ac:dyDescent="0.3">
      <c r="A39" s="54" t="s">
        <v>17</v>
      </c>
      <c r="B39" s="54">
        <v>2</v>
      </c>
      <c r="C39" s="154" t="str">
        <f t="shared" ref="C39:C40" si="5" xml:space="preserve"> IF(B39="","",setValueToTime(B39))</f>
        <v>0h10min</v>
      </c>
      <c r="D39" s="55"/>
      <c r="E39" s="245"/>
      <c r="F39" s="246"/>
      <c r="G39" s="51"/>
    </row>
    <row r="40" spans="1:7" s="52" customFormat="1" ht="15" thickBot="1" x14ac:dyDescent="0.35">
      <c r="A40" s="56" t="s">
        <v>16</v>
      </c>
      <c r="B40" s="56">
        <v>2</v>
      </c>
      <c r="C40" s="155" t="str">
        <f t="shared" si="5"/>
        <v>0h10min</v>
      </c>
      <c r="D40" s="57"/>
      <c r="E40" s="249"/>
      <c r="F40" s="250"/>
      <c r="G40" s="51"/>
    </row>
    <row r="41" spans="1:7" s="52" customFormat="1" ht="15" thickBot="1" x14ac:dyDescent="0.35">
      <c r="A41" s="111" t="s">
        <v>29</v>
      </c>
      <c r="B41" s="84">
        <f>SUM(B38:B40)</f>
        <v>38</v>
      </c>
      <c r="C41" s="111" t="str">
        <f xml:space="preserve"> setValueToTime(B41)</f>
        <v>3h10min</v>
      </c>
      <c r="D41" s="120"/>
      <c r="E41" s="247"/>
      <c r="F41" s="248"/>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1" t="s">
        <v>14</v>
      </c>
      <c r="F44" s="242"/>
      <c r="G44" s="46"/>
    </row>
    <row r="45" spans="1:7" s="52" customFormat="1" ht="27" x14ac:dyDescent="0.3">
      <c r="A45" s="48" t="s">
        <v>97</v>
      </c>
      <c r="B45" s="49">
        <v>34</v>
      </c>
      <c r="C45" s="152" t="str">
        <f xml:space="preserve"> IF(B45="","",setValueToTime(B45))</f>
        <v>2h50min</v>
      </c>
      <c r="D45" s="50"/>
      <c r="E45" s="243"/>
      <c r="F45" s="244"/>
      <c r="G45" s="51"/>
    </row>
    <row r="46" spans="1:7" s="52" customFormat="1" x14ac:dyDescent="0.3">
      <c r="A46" s="54" t="s">
        <v>17</v>
      </c>
      <c r="B46" s="54">
        <v>2</v>
      </c>
      <c r="C46" s="154" t="str">
        <f t="shared" ref="C46:C47" si="6" xml:space="preserve"> IF(B46="","",setValueToTime(B46))</f>
        <v>0h10min</v>
      </c>
      <c r="D46" s="55"/>
      <c r="E46" s="245"/>
      <c r="F46" s="246"/>
      <c r="G46" s="51"/>
    </row>
    <row r="47" spans="1:7" s="52" customFormat="1" ht="15" thickBot="1" x14ac:dyDescent="0.35">
      <c r="A47" s="56" t="s">
        <v>16</v>
      </c>
      <c r="B47" s="56">
        <v>2</v>
      </c>
      <c r="C47" s="155" t="str">
        <f t="shared" si="6"/>
        <v>0h10min</v>
      </c>
      <c r="D47" s="57"/>
      <c r="E47" s="249"/>
      <c r="F47" s="250"/>
      <c r="G47" s="51"/>
    </row>
    <row r="48" spans="1:7" s="52" customFormat="1" ht="15" thickBot="1" x14ac:dyDescent="0.35">
      <c r="A48" s="111" t="s">
        <v>29</v>
      </c>
      <c r="B48" s="84">
        <f>SUM(B45:B47)</f>
        <v>38</v>
      </c>
      <c r="C48" s="111" t="str">
        <f xml:space="preserve"> setValueToTime(B48)</f>
        <v>3h10min</v>
      </c>
      <c r="D48" s="120"/>
      <c r="E48" s="247"/>
      <c r="F48" s="248"/>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1" t="s">
        <v>14</v>
      </c>
      <c r="F51" s="242"/>
      <c r="G51" s="46"/>
    </row>
    <row r="52" spans="1:7" s="52" customFormat="1" x14ac:dyDescent="0.3">
      <c r="A52" s="48" t="s">
        <v>111</v>
      </c>
      <c r="B52" s="49">
        <v>10</v>
      </c>
      <c r="C52" s="152" t="str">
        <f xml:space="preserve"> IF(B52="","",setValueToTime(B52))</f>
        <v>0h50min</v>
      </c>
      <c r="D52" s="50"/>
      <c r="E52" s="243"/>
      <c r="F52" s="244"/>
      <c r="G52" s="51"/>
    </row>
    <row r="53" spans="1:7" s="52" customFormat="1" ht="27" x14ac:dyDescent="0.3">
      <c r="A53" s="53" t="s">
        <v>97</v>
      </c>
      <c r="B53" s="54">
        <v>24</v>
      </c>
      <c r="C53" s="153" t="str">
        <f t="shared" ref="C53:C55" si="7" xml:space="preserve"> IF(B53="","",setValueToTime(B53))</f>
        <v>2h</v>
      </c>
      <c r="D53" s="55"/>
      <c r="E53" s="245"/>
      <c r="F53" s="246"/>
      <c r="G53" s="51"/>
    </row>
    <row r="54" spans="1:7" s="52" customFormat="1" x14ac:dyDescent="0.3">
      <c r="A54" s="54" t="s">
        <v>17</v>
      </c>
      <c r="B54" s="54">
        <v>2</v>
      </c>
      <c r="C54" s="154" t="str">
        <f t="shared" si="7"/>
        <v>0h10min</v>
      </c>
      <c r="D54" s="55"/>
      <c r="E54" s="245"/>
      <c r="F54" s="246"/>
      <c r="G54" s="51"/>
    </row>
    <row r="55" spans="1:7" s="52" customFormat="1" ht="15" thickBot="1" x14ac:dyDescent="0.35">
      <c r="A55" s="56" t="s">
        <v>16</v>
      </c>
      <c r="B55" s="56">
        <v>2</v>
      </c>
      <c r="C55" s="155" t="str">
        <f t="shared" si="7"/>
        <v>0h10min</v>
      </c>
      <c r="D55" s="57"/>
      <c r="E55" s="249"/>
      <c r="F55" s="250"/>
      <c r="G55" s="51"/>
    </row>
    <row r="56" spans="1:7" s="52" customFormat="1" ht="15" thickBot="1" x14ac:dyDescent="0.35">
      <c r="A56" s="111" t="s">
        <v>29</v>
      </c>
      <c r="B56" s="84">
        <f>SUM(B52:B55)</f>
        <v>38</v>
      </c>
      <c r="C56" s="111" t="str">
        <f xml:space="preserve"> setValueToTime(B56)</f>
        <v>3h10min</v>
      </c>
      <c r="D56" s="120"/>
      <c r="E56" s="247"/>
      <c r="F56" s="248"/>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1" t="s">
        <v>14</v>
      </c>
      <c r="F59" s="242"/>
      <c r="G59" s="46"/>
    </row>
    <row r="60" spans="1:7" s="52" customFormat="1" x14ac:dyDescent="0.3">
      <c r="A60" s="48" t="s">
        <v>111</v>
      </c>
      <c r="B60" s="49">
        <v>44</v>
      </c>
      <c r="C60" s="152" t="str">
        <f xml:space="preserve"> IF(B60="","",setValueToTime(B60))</f>
        <v>3h40min</v>
      </c>
      <c r="D60" s="50"/>
      <c r="E60" s="243"/>
      <c r="F60" s="244"/>
      <c r="G60" s="51"/>
    </row>
    <row r="61" spans="1:7" s="52" customFormat="1" x14ac:dyDescent="0.3">
      <c r="A61" s="54" t="s">
        <v>17</v>
      </c>
      <c r="B61" s="54">
        <v>2</v>
      </c>
      <c r="C61" s="154" t="str">
        <f t="shared" ref="C61:C62" si="8" xml:space="preserve"> IF(B61="","",setValueToTime(B61))</f>
        <v>0h10min</v>
      </c>
      <c r="D61" s="55"/>
      <c r="E61" s="245"/>
      <c r="F61" s="246"/>
      <c r="G61" s="51"/>
    </row>
    <row r="62" spans="1:7" s="52" customFormat="1" ht="15" thickBot="1" x14ac:dyDescent="0.35">
      <c r="A62" s="56" t="s">
        <v>16</v>
      </c>
      <c r="B62" s="56">
        <v>2</v>
      </c>
      <c r="C62" s="155" t="str">
        <f t="shared" si="8"/>
        <v>0h10min</v>
      </c>
      <c r="D62" s="57"/>
      <c r="E62" s="249"/>
      <c r="F62" s="250"/>
      <c r="G62" s="51"/>
    </row>
    <row r="63" spans="1:7" s="52" customFormat="1" ht="15" thickBot="1" x14ac:dyDescent="0.35">
      <c r="A63" s="111" t="s">
        <v>29</v>
      </c>
      <c r="B63" s="84">
        <f>SUM(B60:B62)</f>
        <v>48</v>
      </c>
      <c r="C63" s="111" t="str">
        <f xml:space="preserve"> setValueToTime(B63)</f>
        <v>4h</v>
      </c>
      <c r="D63" s="120"/>
      <c r="E63" s="247"/>
      <c r="F63" s="248"/>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1" t="s">
        <v>14</v>
      </c>
      <c r="F66" s="242"/>
      <c r="G66" s="46"/>
    </row>
    <row r="67" spans="1:7" s="52" customFormat="1" x14ac:dyDescent="0.3">
      <c r="A67" s="48" t="s">
        <v>111</v>
      </c>
      <c r="B67" s="49">
        <v>34</v>
      </c>
      <c r="C67" s="152" t="str">
        <f xml:space="preserve"> IF(B67="","",setValueToTime(B67))</f>
        <v>2h50min</v>
      </c>
      <c r="D67" s="50"/>
      <c r="E67" s="243"/>
      <c r="F67" s="244"/>
      <c r="G67" s="51"/>
    </row>
    <row r="68" spans="1:7" s="52" customFormat="1" x14ac:dyDescent="0.3">
      <c r="A68" s="54" t="s">
        <v>17</v>
      </c>
      <c r="B68" s="54">
        <v>2</v>
      </c>
      <c r="C68" s="154" t="str">
        <f t="shared" ref="C68:C69" si="9" xml:space="preserve"> IF(B68="","",setValueToTime(B68))</f>
        <v>0h10min</v>
      </c>
      <c r="D68" s="55"/>
      <c r="E68" s="245"/>
      <c r="F68" s="246"/>
      <c r="G68" s="51"/>
    </row>
    <row r="69" spans="1:7" s="52" customFormat="1" ht="15" thickBot="1" x14ac:dyDescent="0.35">
      <c r="A69" s="56" t="s">
        <v>16</v>
      </c>
      <c r="B69" s="56">
        <v>2</v>
      </c>
      <c r="C69" s="155" t="str">
        <f t="shared" si="9"/>
        <v>0h10min</v>
      </c>
      <c r="D69" s="57"/>
      <c r="E69" s="249"/>
      <c r="F69" s="250"/>
      <c r="G69" s="51"/>
    </row>
    <row r="70" spans="1:7" s="52" customFormat="1" ht="15" thickBot="1" x14ac:dyDescent="0.35">
      <c r="A70" s="111" t="s">
        <v>29</v>
      </c>
      <c r="B70" s="84">
        <f>SUM(B67:B69)</f>
        <v>38</v>
      </c>
      <c r="C70" s="111" t="str">
        <f xml:space="preserve"> setValueToTime(B70)</f>
        <v>3h10min</v>
      </c>
      <c r="D70" s="120"/>
      <c r="E70" s="247"/>
      <c r="F70" s="248"/>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1" t="s">
        <v>14</v>
      </c>
      <c r="F73" s="242"/>
      <c r="G73" s="46"/>
    </row>
    <row r="74" spans="1:7" s="52" customFormat="1" x14ac:dyDescent="0.3">
      <c r="A74" s="48" t="s">
        <v>111</v>
      </c>
      <c r="B74" s="49">
        <v>44</v>
      </c>
      <c r="C74" s="152" t="str">
        <f xml:space="preserve"> IF(B74="","",setValueToTime(B74))</f>
        <v>3h40min</v>
      </c>
      <c r="D74" s="50"/>
      <c r="E74" s="243"/>
      <c r="F74" s="244"/>
      <c r="G74" s="51"/>
    </row>
    <row r="75" spans="1:7" s="52" customFormat="1" x14ac:dyDescent="0.3">
      <c r="A75" s="54" t="s">
        <v>17</v>
      </c>
      <c r="B75" s="54">
        <v>2</v>
      </c>
      <c r="C75" s="154" t="str">
        <f t="shared" ref="C75:C76" si="10" xml:space="preserve"> IF(B75="","",setValueToTime(B75))</f>
        <v>0h10min</v>
      </c>
      <c r="D75" s="55"/>
      <c r="E75" s="245"/>
      <c r="F75" s="246"/>
      <c r="G75" s="51"/>
    </row>
    <row r="76" spans="1:7" s="52" customFormat="1" ht="15" thickBot="1" x14ac:dyDescent="0.35">
      <c r="A76" s="56" t="s">
        <v>16</v>
      </c>
      <c r="B76" s="56">
        <v>2</v>
      </c>
      <c r="C76" s="155" t="str">
        <f t="shared" si="10"/>
        <v>0h10min</v>
      </c>
      <c r="D76" s="57"/>
      <c r="E76" s="249"/>
      <c r="F76" s="250"/>
      <c r="G76" s="51"/>
    </row>
    <row r="77" spans="1:7" s="52" customFormat="1" ht="15" thickBot="1" x14ac:dyDescent="0.35">
      <c r="A77" s="111" t="s">
        <v>29</v>
      </c>
      <c r="B77" s="84">
        <f>SUM(B74:B76)</f>
        <v>48</v>
      </c>
      <c r="C77" s="111" t="str">
        <f xml:space="preserve"> setValueToTime(B77)</f>
        <v>4h</v>
      </c>
      <c r="D77" s="120"/>
      <c r="E77" s="247"/>
      <c r="F77" s="248"/>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1" t="s">
        <v>14</v>
      </c>
      <c r="F80" s="242"/>
      <c r="G80" s="46"/>
    </row>
    <row r="81" spans="1:7" s="52" customFormat="1" x14ac:dyDescent="0.3">
      <c r="A81" s="48" t="s">
        <v>111</v>
      </c>
      <c r="B81" s="49">
        <v>34</v>
      </c>
      <c r="C81" s="152" t="str">
        <f xml:space="preserve"> IF(B81="","",setValueToTime(B81))</f>
        <v>2h50min</v>
      </c>
      <c r="D81" s="50"/>
      <c r="E81" s="243"/>
      <c r="F81" s="244"/>
      <c r="G81" s="51"/>
    </row>
    <row r="82" spans="1:7" s="52" customFormat="1" x14ac:dyDescent="0.3">
      <c r="A82" s="54" t="s">
        <v>17</v>
      </c>
      <c r="B82" s="54">
        <v>2</v>
      </c>
      <c r="C82" s="154" t="str">
        <f t="shared" ref="C82:C83" si="11" xml:space="preserve"> IF(B82="","",setValueToTime(B82))</f>
        <v>0h10min</v>
      </c>
      <c r="D82" s="55"/>
      <c r="E82" s="245"/>
      <c r="F82" s="246"/>
      <c r="G82" s="51"/>
    </row>
    <row r="83" spans="1:7" s="52" customFormat="1" ht="15" thickBot="1" x14ac:dyDescent="0.35">
      <c r="A83" s="56" t="s">
        <v>16</v>
      </c>
      <c r="B83" s="56">
        <v>2</v>
      </c>
      <c r="C83" s="155" t="str">
        <f t="shared" si="11"/>
        <v>0h10min</v>
      </c>
      <c r="D83" s="57"/>
      <c r="E83" s="249"/>
      <c r="F83" s="250"/>
      <c r="G83" s="51"/>
    </row>
    <row r="84" spans="1:7" s="52" customFormat="1" ht="15" thickBot="1" x14ac:dyDescent="0.35">
      <c r="A84" s="111" t="s">
        <v>29</v>
      </c>
      <c r="B84" s="84">
        <f>SUM(B81:B83)</f>
        <v>38</v>
      </c>
      <c r="C84" s="111" t="str">
        <f xml:space="preserve"> setValueToTime(B84)</f>
        <v>3h10min</v>
      </c>
      <c r="D84" s="120"/>
      <c r="E84" s="247"/>
      <c r="F84" s="248"/>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1" t="s">
        <v>14</v>
      </c>
      <c r="F87" s="242"/>
      <c r="G87" s="46"/>
    </row>
    <row r="88" spans="1:7" s="52" customFormat="1" x14ac:dyDescent="0.3">
      <c r="A88" s="48" t="s">
        <v>111</v>
      </c>
      <c r="B88" s="49">
        <v>34</v>
      </c>
      <c r="C88" s="152" t="str">
        <f xml:space="preserve"> IF(B88="","",setValueToTime(B88))</f>
        <v>2h50min</v>
      </c>
      <c r="D88" s="50"/>
      <c r="E88" s="243"/>
      <c r="F88" s="244"/>
      <c r="G88" s="51"/>
    </row>
    <row r="89" spans="1:7" s="52" customFormat="1" x14ac:dyDescent="0.3">
      <c r="A89" s="54" t="s">
        <v>17</v>
      </c>
      <c r="B89" s="54">
        <v>2</v>
      </c>
      <c r="C89" s="154" t="str">
        <f t="shared" ref="C89:C90" si="12" xml:space="preserve"> IF(B89="","",setValueToTime(B89))</f>
        <v>0h10min</v>
      </c>
      <c r="D89" s="55"/>
      <c r="E89" s="245"/>
      <c r="F89" s="246"/>
      <c r="G89" s="51"/>
    </row>
    <row r="90" spans="1:7" s="52" customFormat="1" ht="15" thickBot="1" x14ac:dyDescent="0.35">
      <c r="A90" s="56" t="s">
        <v>16</v>
      </c>
      <c r="B90" s="56">
        <v>2</v>
      </c>
      <c r="C90" s="155" t="str">
        <f t="shared" si="12"/>
        <v>0h10min</v>
      </c>
      <c r="D90" s="57"/>
      <c r="E90" s="249"/>
      <c r="F90" s="250"/>
      <c r="G90" s="51"/>
    </row>
    <row r="91" spans="1:7" s="52" customFormat="1" ht="15" thickBot="1" x14ac:dyDescent="0.35">
      <c r="A91" s="111" t="s">
        <v>29</v>
      </c>
      <c r="B91" s="84">
        <f>SUM(B88:B90)</f>
        <v>38</v>
      </c>
      <c r="C91" s="111" t="str">
        <f xml:space="preserve"> setValueToTime(B91)</f>
        <v>3h10min</v>
      </c>
      <c r="D91" s="120"/>
      <c r="E91" s="247"/>
      <c r="F91" s="248"/>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1" t="s">
        <v>14</v>
      </c>
      <c r="F94" s="242"/>
      <c r="G94" s="46"/>
    </row>
    <row r="95" spans="1:7" s="52" customFormat="1" ht="27" x14ac:dyDescent="0.3">
      <c r="A95" s="48" t="s">
        <v>96</v>
      </c>
      <c r="B95" s="49">
        <v>34</v>
      </c>
      <c r="C95" s="152" t="str">
        <f xml:space="preserve"> IF(B95="","",setValueToTime(B95))</f>
        <v>2h50min</v>
      </c>
      <c r="D95" s="50"/>
      <c r="E95" s="243"/>
      <c r="F95" s="244"/>
      <c r="G95" s="51"/>
    </row>
    <row r="96" spans="1:7" s="52" customFormat="1" x14ac:dyDescent="0.3">
      <c r="A96" s="54" t="s">
        <v>17</v>
      </c>
      <c r="B96" s="54">
        <v>2</v>
      </c>
      <c r="C96" s="154" t="str">
        <f t="shared" ref="C96:C97" si="13" xml:space="preserve"> IF(B96="","",setValueToTime(B96))</f>
        <v>0h10min</v>
      </c>
      <c r="D96" s="55"/>
      <c r="E96" s="245"/>
      <c r="F96" s="246"/>
      <c r="G96" s="51"/>
    </row>
    <row r="97" spans="1:7" s="52" customFormat="1" ht="15" thickBot="1" x14ac:dyDescent="0.35">
      <c r="A97" s="56" t="s">
        <v>16</v>
      </c>
      <c r="B97" s="56">
        <v>2</v>
      </c>
      <c r="C97" s="155" t="str">
        <f t="shared" si="13"/>
        <v>0h10min</v>
      </c>
      <c r="D97" s="57"/>
      <c r="E97" s="249"/>
      <c r="F97" s="250"/>
      <c r="G97" s="51"/>
    </row>
    <row r="98" spans="1:7" s="52" customFormat="1" ht="15" thickBot="1" x14ac:dyDescent="0.35">
      <c r="A98" s="111" t="s">
        <v>29</v>
      </c>
      <c r="B98" s="84">
        <f>SUM(B95:B97)</f>
        <v>38</v>
      </c>
      <c r="C98" s="111" t="str">
        <f xml:space="preserve"> setValueToTime(B98)</f>
        <v>3h10min</v>
      </c>
      <c r="D98" s="120"/>
      <c r="E98" s="247"/>
      <c r="F98" s="248"/>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1" t="s">
        <v>14</v>
      </c>
      <c r="F101" s="242"/>
      <c r="G101" s="46"/>
    </row>
    <row r="102" spans="1:7" s="52" customFormat="1" ht="27" x14ac:dyDescent="0.3">
      <c r="A102" s="48" t="s">
        <v>96</v>
      </c>
      <c r="B102" s="49">
        <v>44</v>
      </c>
      <c r="C102" s="152" t="str">
        <f xml:space="preserve"> IF(B102="","",setValueToTime(B102))</f>
        <v>3h40min</v>
      </c>
      <c r="D102" s="50"/>
      <c r="E102" s="243"/>
      <c r="F102" s="244"/>
      <c r="G102" s="51"/>
    </row>
    <row r="103" spans="1:7" s="52" customFormat="1" x14ac:dyDescent="0.3">
      <c r="A103" s="54" t="s">
        <v>17</v>
      </c>
      <c r="B103" s="54">
        <v>2</v>
      </c>
      <c r="C103" s="154" t="str">
        <f t="shared" ref="C103:C104" si="14" xml:space="preserve"> IF(B103="","",setValueToTime(B103))</f>
        <v>0h10min</v>
      </c>
      <c r="D103" s="55"/>
      <c r="E103" s="245"/>
      <c r="F103" s="246"/>
      <c r="G103" s="51"/>
    </row>
    <row r="104" spans="1:7" s="52" customFormat="1" ht="15" thickBot="1" x14ac:dyDescent="0.35">
      <c r="A104" s="56" t="s">
        <v>16</v>
      </c>
      <c r="B104" s="56">
        <v>2</v>
      </c>
      <c r="C104" s="155" t="str">
        <f t="shared" si="14"/>
        <v>0h10min</v>
      </c>
      <c r="D104" s="57"/>
      <c r="E104" s="249"/>
      <c r="F104" s="250"/>
      <c r="G104" s="51"/>
    </row>
    <row r="105" spans="1:7" s="52" customFormat="1" ht="15" thickBot="1" x14ac:dyDescent="0.35">
      <c r="A105" s="111" t="s">
        <v>29</v>
      </c>
      <c r="B105" s="84">
        <f>SUM(B102:B104)</f>
        <v>48</v>
      </c>
      <c r="C105" s="111" t="str">
        <f xml:space="preserve"> setValueToTime(B105)</f>
        <v>4h</v>
      </c>
      <c r="D105" s="120"/>
      <c r="E105" s="247"/>
      <c r="F105" s="248"/>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1" t="s">
        <v>14</v>
      </c>
      <c r="F108" s="242"/>
      <c r="G108" s="46"/>
    </row>
    <row r="109" spans="1:7" s="52" customFormat="1" ht="40.5" x14ac:dyDescent="0.3">
      <c r="A109" s="48" t="s">
        <v>95</v>
      </c>
      <c r="B109" s="49">
        <v>20</v>
      </c>
      <c r="C109" s="152" t="str">
        <f xml:space="preserve"> IF(B109="","",setValueToTime(B109))</f>
        <v>1h40min</v>
      </c>
      <c r="D109" s="50"/>
      <c r="E109" s="243"/>
      <c r="F109" s="244"/>
      <c r="G109" s="51"/>
    </row>
    <row r="110" spans="1:7" s="52" customFormat="1" ht="27" x14ac:dyDescent="0.3">
      <c r="A110" s="53" t="s">
        <v>96</v>
      </c>
      <c r="B110" s="54">
        <v>14</v>
      </c>
      <c r="C110" s="153" t="str">
        <f t="shared" ref="C110:C112" si="15" xml:space="preserve"> IF(B110="","",setValueToTime(B110))</f>
        <v>1h10min</v>
      </c>
      <c r="D110" s="55"/>
      <c r="E110" s="245"/>
      <c r="F110" s="246"/>
      <c r="G110" s="51"/>
    </row>
    <row r="111" spans="1:7" s="52" customFormat="1" x14ac:dyDescent="0.3">
      <c r="A111" s="54" t="s">
        <v>17</v>
      </c>
      <c r="B111" s="54">
        <v>2</v>
      </c>
      <c r="C111" s="154" t="str">
        <f t="shared" si="15"/>
        <v>0h10min</v>
      </c>
      <c r="D111" s="55"/>
      <c r="E111" s="245"/>
      <c r="F111" s="246"/>
      <c r="G111" s="51"/>
    </row>
    <row r="112" spans="1:7" s="52" customFormat="1" ht="15" thickBot="1" x14ac:dyDescent="0.35">
      <c r="A112" s="56" t="s">
        <v>16</v>
      </c>
      <c r="B112" s="56">
        <v>2</v>
      </c>
      <c r="C112" s="155" t="str">
        <f t="shared" si="15"/>
        <v>0h10min</v>
      </c>
      <c r="D112" s="57"/>
      <c r="E112" s="249"/>
      <c r="F112" s="250"/>
      <c r="G112" s="51"/>
    </row>
    <row r="113" spans="1:7" s="52" customFormat="1" ht="15" thickBot="1" x14ac:dyDescent="0.35">
      <c r="A113" s="111" t="s">
        <v>29</v>
      </c>
      <c r="B113" s="84">
        <f>SUM(B109:B112)</f>
        <v>38</v>
      </c>
      <c r="C113" s="111" t="str">
        <f xml:space="preserve"> setValueToTime(B113)</f>
        <v>3h10min</v>
      </c>
      <c r="D113" s="120"/>
      <c r="E113" s="247"/>
      <c r="F113" s="248"/>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1" t="s">
        <v>14</v>
      </c>
      <c r="F116" s="242"/>
      <c r="G116" s="46"/>
    </row>
    <row r="117" spans="1:7" s="52" customFormat="1" ht="40.5" x14ac:dyDescent="0.3">
      <c r="A117" s="48" t="s">
        <v>95</v>
      </c>
      <c r="B117" s="49">
        <v>44</v>
      </c>
      <c r="C117" s="152" t="str">
        <f xml:space="preserve"> IF(B117="","",setValueToTime(B117))</f>
        <v>3h40min</v>
      </c>
      <c r="D117" s="50"/>
      <c r="E117" s="243"/>
      <c r="F117" s="244"/>
      <c r="G117" s="51"/>
    </row>
    <row r="118" spans="1:7" s="52" customFormat="1" x14ac:dyDescent="0.3">
      <c r="A118" s="54" t="s">
        <v>17</v>
      </c>
      <c r="B118" s="54">
        <v>2</v>
      </c>
      <c r="C118" s="154" t="str">
        <f t="shared" ref="C118:C119" si="16" xml:space="preserve"> IF(B118="","",setValueToTime(B118))</f>
        <v>0h10min</v>
      </c>
      <c r="D118" s="55"/>
      <c r="E118" s="245"/>
      <c r="F118" s="246"/>
      <c r="G118" s="51"/>
    </row>
    <row r="119" spans="1:7" s="52" customFormat="1" ht="15" thickBot="1" x14ac:dyDescent="0.35">
      <c r="A119" s="56" t="s">
        <v>16</v>
      </c>
      <c r="B119" s="56">
        <v>2</v>
      </c>
      <c r="C119" s="155" t="str">
        <f t="shared" si="16"/>
        <v>0h10min</v>
      </c>
      <c r="D119" s="57"/>
      <c r="E119" s="249"/>
      <c r="F119" s="250"/>
      <c r="G119" s="51"/>
    </row>
    <row r="120" spans="1:7" s="52" customFormat="1" ht="15" thickBot="1" x14ac:dyDescent="0.35">
      <c r="A120" s="111" t="s">
        <v>29</v>
      </c>
      <c r="B120" s="84">
        <f>SUM(B117:B119)</f>
        <v>48</v>
      </c>
      <c r="C120" s="111" t="str">
        <f xml:space="preserve"> setValueToTime(B120)</f>
        <v>4h</v>
      </c>
      <c r="D120" s="120"/>
      <c r="E120" s="247"/>
      <c r="F120" s="248"/>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1" t="s">
        <v>14</v>
      </c>
      <c r="F123" s="242"/>
      <c r="G123" s="46"/>
    </row>
    <row r="124" spans="1:7" s="52" customFormat="1" ht="40.5" x14ac:dyDescent="0.3">
      <c r="A124" s="48" t="s">
        <v>95</v>
      </c>
      <c r="B124" s="49">
        <v>34</v>
      </c>
      <c r="C124" s="152" t="str">
        <f xml:space="preserve"> IF(B124="","",setValueToTime(B124))</f>
        <v>2h50min</v>
      </c>
      <c r="D124" s="50"/>
      <c r="E124" s="243"/>
      <c r="F124" s="244"/>
      <c r="G124" s="51"/>
    </row>
    <row r="125" spans="1:7" s="52" customFormat="1" x14ac:dyDescent="0.3">
      <c r="A125" s="54" t="s">
        <v>17</v>
      </c>
      <c r="B125" s="54">
        <v>2</v>
      </c>
      <c r="C125" s="154" t="str">
        <f t="shared" ref="C125:C126" si="17" xml:space="preserve"> IF(B125="","",setValueToTime(B125))</f>
        <v>0h10min</v>
      </c>
      <c r="D125" s="55"/>
      <c r="E125" s="245"/>
      <c r="F125" s="246"/>
      <c r="G125" s="51"/>
    </row>
    <row r="126" spans="1:7" s="52" customFormat="1" ht="15" thickBot="1" x14ac:dyDescent="0.35">
      <c r="A126" s="56" t="s">
        <v>16</v>
      </c>
      <c r="B126" s="56">
        <v>2</v>
      </c>
      <c r="C126" s="155" t="str">
        <f t="shared" si="17"/>
        <v>0h10min</v>
      </c>
      <c r="D126" s="57"/>
      <c r="E126" s="249"/>
      <c r="F126" s="250"/>
      <c r="G126" s="51"/>
    </row>
    <row r="127" spans="1:7" s="52" customFormat="1" ht="15" thickBot="1" x14ac:dyDescent="0.35">
      <c r="A127" s="111" t="s">
        <v>29</v>
      </c>
      <c r="B127" s="84">
        <f>SUM(B124:B126)</f>
        <v>38</v>
      </c>
      <c r="C127" s="111" t="str">
        <f xml:space="preserve"> setValueToTime(B127)</f>
        <v>3h10min</v>
      </c>
      <c r="D127" s="120"/>
      <c r="E127" s="247"/>
      <c r="F127" s="248"/>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1" t="s">
        <v>14</v>
      </c>
      <c r="F130" s="242"/>
      <c r="G130" s="46"/>
    </row>
    <row r="131" spans="1:7" s="52" customFormat="1" ht="27" x14ac:dyDescent="0.3">
      <c r="A131" s="48" t="s">
        <v>94</v>
      </c>
      <c r="B131" s="49">
        <v>34</v>
      </c>
      <c r="C131" s="152" t="str">
        <f xml:space="preserve"> IF(B131="","",setValueToTime(B131))</f>
        <v>2h50min</v>
      </c>
      <c r="D131" s="50"/>
      <c r="E131" s="243"/>
      <c r="F131" s="244"/>
      <c r="G131" s="51"/>
    </row>
    <row r="132" spans="1:7" s="52" customFormat="1" x14ac:dyDescent="0.3">
      <c r="A132" s="54" t="s">
        <v>17</v>
      </c>
      <c r="B132" s="54">
        <v>2</v>
      </c>
      <c r="C132" s="154" t="str">
        <f t="shared" ref="C132:C133" si="18" xml:space="preserve"> IF(B132="","",setValueToTime(B132))</f>
        <v>0h10min</v>
      </c>
      <c r="D132" s="55"/>
      <c r="E132" s="245"/>
      <c r="F132" s="246"/>
      <c r="G132" s="51"/>
    </row>
    <row r="133" spans="1:7" s="52" customFormat="1" ht="15" thickBot="1" x14ac:dyDescent="0.35">
      <c r="A133" s="56" t="s">
        <v>16</v>
      </c>
      <c r="B133" s="56">
        <v>2</v>
      </c>
      <c r="C133" s="155" t="str">
        <f t="shared" si="18"/>
        <v>0h10min</v>
      </c>
      <c r="D133" s="57"/>
      <c r="E133" s="249"/>
      <c r="F133" s="250"/>
      <c r="G133" s="51"/>
    </row>
    <row r="134" spans="1:7" s="52" customFormat="1" ht="15" thickBot="1" x14ac:dyDescent="0.35">
      <c r="A134" s="111" t="s">
        <v>29</v>
      </c>
      <c r="B134" s="84">
        <f>SUM(B131:B133)</f>
        <v>38</v>
      </c>
      <c r="C134" s="111" t="str">
        <f xml:space="preserve"> setValueToTime(B134)</f>
        <v>3h10min</v>
      </c>
      <c r="D134" s="120"/>
      <c r="E134" s="247"/>
      <c r="F134" s="248"/>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1" t="s">
        <v>14</v>
      </c>
      <c r="F137" s="242"/>
      <c r="G137" s="46"/>
    </row>
    <row r="138" spans="1:7" s="52" customFormat="1" ht="27" x14ac:dyDescent="0.3">
      <c r="A138" s="48" t="s">
        <v>94</v>
      </c>
      <c r="B138" s="49">
        <v>44</v>
      </c>
      <c r="C138" s="152" t="str">
        <f xml:space="preserve"> IF(B138="","",setValueToTime(B138))</f>
        <v>3h40min</v>
      </c>
      <c r="D138" s="50"/>
      <c r="E138" s="243"/>
      <c r="F138" s="244"/>
      <c r="G138" s="51"/>
    </row>
    <row r="139" spans="1:7" s="52" customFormat="1" x14ac:dyDescent="0.3">
      <c r="A139" s="54" t="s">
        <v>17</v>
      </c>
      <c r="B139" s="54">
        <v>2</v>
      </c>
      <c r="C139" s="154" t="str">
        <f t="shared" ref="C139:C140" si="19" xml:space="preserve"> IF(B139="","",setValueToTime(B139))</f>
        <v>0h10min</v>
      </c>
      <c r="D139" s="55"/>
      <c r="E139" s="245"/>
      <c r="F139" s="246"/>
      <c r="G139" s="51"/>
    </row>
    <row r="140" spans="1:7" s="52" customFormat="1" ht="15" thickBot="1" x14ac:dyDescent="0.35">
      <c r="A140" s="56" t="s">
        <v>16</v>
      </c>
      <c r="B140" s="56">
        <v>2</v>
      </c>
      <c r="C140" s="155" t="str">
        <f t="shared" si="19"/>
        <v>0h10min</v>
      </c>
      <c r="D140" s="57"/>
      <c r="E140" s="249"/>
      <c r="F140" s="250"/>
      <c r="G140" s="51"/>
    </row>
    <row r="141" spans="1:7" s="52" customFormat="1" ht="15" thickBot="1" x14ac:dyDescent="0.35">
      <c r="A141" s="111" t="s">
        <v>29</v>
      </c>
      <c r="B141" s="84">
        <f>SUM(B138:B140)</f>
        <v>48</v>
      </c>
      <c r="C141" s="111" t="str">
        <f xml:space="preserve"> setValueToTime(B141)</f>
        <v>4h</v>
      </c>
      <c r="D141" s="120"/>
      <c r="E141" s="247"/>
      <c r="F141" s="248"/>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1" t="s">
        <v>14</v>
      </c>
      <c r="F144" s="242"/>
      <c r="G144" s="46"/>
    </row>
    <row r="145" spans="1:7" s="52" customFormat="1" ht="27" x14ac:dyDescent="0.3">
      <c r="A145" s="48" t="s">
        <v>93</v>
      </c>
      <c r="B145" s="49">
        <v>16</v>
      </c>
      <c r="C145" s="152" t="str">
        <f xml:space="preserve"> IF(B145="","",setValueToTime(B145))</f>
        <v>1h20min</v>
      </c>
      <c r="D145" s="50"/>
      <c r="E145" s="243"/>
      <c r="F145" s="244"/>
      <c r="G145" s="51"/>
    </row>
    <row r="146" spans="1:7" s="52" customFormat="1" ht="27" x14ac:dyDescent="0.3">
      <c r="A146" s="53" t="s">
        <v>94</v>
      </c>
      <c r="B146" s="54">
        <v>18</v>
      </c>
      <c r="C146" s="153" t="str">
        <f t="shared" ref="C146:C148" si="20" xml:space="preserve"> IF(B146="","",setValueToTime(B146))</f>
        <v>1h30min</v>
      </c>
      <c r="D146" s="55"/>
      <c r="E146" s="245"/>
      <c r="F146" s="246"/>
      <c r="G146" s="51"/>
    </row>
    <row r="147" spans="1:7" s="52" customFormat="1" x14ac:dyDescent="0.3">
      <c r="A147" s="54" t="s">
        <v>17</v>
      </c>
      <c r="B147" s="54">
        <v>2</v>
      </c>
      <c r="C147" s="154" t="str">
        <f t="shared" si="20"/>
        <v>0h10min</v>
      </c>
      <c r="D147" s="55"/>
      <c r="E147" s="245"/>
      <c r="F147" s="246"/>
      <c r="G147" s="51"/>
    </row>
    <row r="148" spans="1:7" s="52" customFormat="1" ht="15" thickBot="1" x14ac:dyDescent="0.35">
      <c r="A148" s="56" t="s">
        <v>16</v>
      </c>
      <c r="B148" s="56">
        <v>2</v>
      </c>
      <c r="C148" s="155" t="str">
        <f t="shared" si="20"/>
        <v>0h10min</v>
      </c>
      <c r="D148" s="57"/>
      <c r="E148" s="249"/>
      <c r="F148" s="250"/>
      <c r="G148" s="51"/>
    </row>
    <row r="149" spans="1:7" s="52" customFormat="1" ht="15" thickBot="1" x14ac:dyDescent="0.35">
      <c r="A149" s="111" t="s">
        <v>29</v>
      </c>
      <c r="B149" s="84">
        <f>SUM(B145:B148)</f>
        <v>38</v>
      </c>
      <c r="C149" s="111" t="str">
        <f xml:space="preserve"> setValueToTime(B149)</f>
        <v>3h10min</v>
      </c>
      <c r="D149" s="120"/>
      <c r="E149" s="247"/>
      <c r="F149" s="248"/>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1" t="s">
        <v>14</v>
      </c>
      <c r="F152" s="242"/>
      <c r="G152" s="46"/>
    </row>
    <row r="153" spans="1:7" s="52" customFormat="1" ht="27" x14ac:dyDescent="0.3">
      <c r="A153" s="48" t="s">
        <v>93</v>
      </c>
      <c r="B153" s="49">
        <v>34</v>
      </c>
      <c r="C153" s="152" t="str">
        <f xml:space="preserve"> IF(B153="","",setValueToTime(B153))</f>
        <v>2h50min</v>
      </c>
      <c r="D153" s="50"/>
      <c r="E153" s="243"/>
      <c r="F153" s="244"/>
      <c r="G153" s="51"/>
    </row>
    <row r="154" spans="1:7" s="52" customFormat="1" x14ac:dyDescent="0.3">
      <c r="A154" s="54" t="s">
        <v>17</v>
      </c>
      <c r="B154" s="54">
        <v>2</v>
      </c>
      <c r="C154" s="154" t="str">
        <f t="shared" ref="C154:C155" si="21" xml:space="preserve"> IF(B154="","",setValueToTime(B154))</f>
        <v>0h10min</v>
      </c>
      <c r="D154" s="55"/>
      <c r="E154" s="245"/>
      <c r="F154" s="246"/>
      <c r="G154" s="51"/>
    </row>
    <row r="155" spans="1:7" s="52" customFormat="1" ht="15" thickBot="1" x14ac:dyDescent="0.35">
      <c r="A155" s="56" t="s">
        <v>16</v>
      </c>
      <c r="B155" s="56">
        <v>2</v>
      </c>
      <c r="C155" s="155" t="str">
        <f t="shared" si="21"/>
        <v>0h10min</v>
      </c>
      <c r="D155" s="57"/>
      <c r="E155" s="249"/>
      <c r="F155" s="250"/>
      <c r="G155" s="51"/>
    </row>
    <row r="156" spans="1:7" s="52" customFormat="1" ht="15" thickBot="1" x14ac:dyDescent="0.35">
      <c r="A156" s="111" t="s">
        <v>29</v>
      </c>
      <c r="B156" s="84">
        <f>SUM(B153:B155)</f>
        <v>38</v>
      </c>
      <c r="C156" s="111" t="str">
        <f xml:space="preserve"> setValueToTime(B156)</f>
        <v>3h10min</v>
      </c>
      <c r="D156" s="120"/>
      <c r="E156" s="247"/>
      <c r="F156" s="248"/>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1" t="s">
        <v>14</v>
      </c>
      <c r="F159" s="242"/>
      <c r="G159" s="46"/>
    </row>
    <row r="160" spans="1:7" s="52" customFormat="1" ht="27" x14ac:dyDescent="0.3">
      <c r="A160" s="48" t="s">
        <v>92</v>
      </c>
      <c r="B160" s="49">
        <v>34</v>
      </c>
      <c r="C160" s="152" t="str">
        <f xml:space="preserve"> IF(B160="","",setValueToTime(B160))</f>
        <v>2h50min</v>
      </c>
      <c r="D160" s="50"/>
      <c r="E160" s="243"/>
      <c r="F160" s="244"/>
      <c r="G160" s="51"/>
    </row>
    <row r="161" spans="1:7" s="52" customFormat="1" x14ac:dyDescent="0.3">
      <c r="A161" s="54" t="s">
        <v>17</v>
      </c>
      <c r="B161" s="54">
        <v>2</v>
      </c>
      <c r="C161" s="154" t="str">
        <f t="shared" ref="C161:C162" si="22" xml:space="preserve"> IF(B161="","",setValueToTime(B161))</f>
        <v>0h10min</v>
      </c>
      <c r="D161" s="55"/>
      <c r="E161" s="245"/>
      <c r="F161" s="246"/>
      <c r="G161" s="51"/>
    </row>
    <row r="162" spans="1:7" s="52" customFormat="1" ht="15" thickBot="1" x14ac:dyDescent="0.35">
      <c r="A162" s="56" t="s">
        <v>16</v>
      </c>
      <c r="B162" s="56">
        <v>2</v>
      </c>
      <c r="C162" s="155" t="str">
        <f t="shared" si="22"/>
        <v>0h10min</v>
      </c>
      <c r="D162" s="57"/>
      <c r="E162" s="249"/>
      <c r="F162" s="250"/>
      <c r="G162" s="51"/>
    </row>
    <row r="163" spans="1:7" s="52" customFormat="1" ht="15" thickBot="1" x14ac:dyDescent="0.35">
      <c r="A163" s="111" t="s">
        <v>29</v>
      </c>
      <c r="B163" s="84">
        <f>SUM(B160:B162)</f>
        <v>38</v>
      </c>
      <c r="C163" s="111" t="str">
        <f xml:space="preserve"> setValueToTime(B163)</f>
        <v>3h10min</v>
      </c>
      <c r="D163" s="120"/>
      <c r="E163" s="247"/>
      <c r="F163" s="248"/>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1" t="s">
        <v>14</v>
      </c>
      <c r="F166" s="242"/>
      <c r="G166" s="46"/>
    </row>
    <row r="167" spans="1:7" s="52" customFormat="1" ht="27" x14ac:dyDescent="0.3">
      <c r="A167" s="48" t="s">
        <v>92</v>
      </c>
      <c r="B167" s="49">
        <v>34</v>
      </c>
      <c r="C167" s="152" t="str">
        <f xml:space="preserve"> IF(B167="","",setValueToTime(B167))</f>
        <v>2h50min</v>
      </c>
      <c r="D167" s="174"/>
      <c r="E167" s="243"/>
      <c r="F167" s="244"/>
      <c r="G167" s="51"/>
    </row>
    <row r="168" spans="1:7" s="52" customFormat="1" x14ac:dyDescent="0.3">
      <c r="A168" s="54" t="s">
        <v>17</v>
      </c>
      <c r="B168" s="54">
        <v>2</v>
      </c>
      <c r="C168" s="154" t="str">
        <f t="shared" ref="C168:C169" si="23" xml:space="preserve"> IF(B168="","",setValueToTime(B168))</f>
        <v>0h10min</v>
      </c>
      <c r="D168" s="55"/>
      <c r="E168" s="245"/>
      <c r="F168" s="246"/>
      <c r="G168" s="51"/>
    </row>
    <row r="169" spans="1:7" s="52" customFormat="1" ht="15" thickBot="1" x14ac:dyDescent="0.35">
      <c r="A169" s="56" t="s">
        <v>16</v>
      </c>
      <c r="B169" s="56">
        <v>2</v>
      </c>
      <c r="C169" s="155" t="str">
        <f t="shared" si="23"/>
        <v>0h10min</v>
      </c>
      <c r="D169" s="57"/>
      <c r="E169" s="249"/>
      <c r="F169" s="250"/>
      <c r="G169" s="51"/>
    </row>
    <row r="170" spans="1:7" s="52" customFormat="1" ht="15" thickBot="1" x14ac:dyDescent="0.35">
      <c r="A170" s="111" t="s">
        <v>29</v>
      </c>
      <c r="B170" s="84">
        <f>SUM(B167:B169)</f>
        <v>38</v>
      </c>
      <c r="C170" s="111" t="str">
        <f xml:space="preserve"> setValueToTime(B170)</f>
        <v>3h10min</v>
      </c>
      <c r="D170" s="120"/>
      <c r="E170" s="247"/>
      <c r="F170" s="248"/>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1" t="s">
        <v>14</v>
      </c>
      <c r="F173" s="242"/>
      <c r="G173" s="46"/>
    </row>
    <row r="174" spans="1:7" s="52" customFormat="1" x14ac:dyDescent="0.3">
      <c r="A174" s="48" t="s">
        <v>91</v>
      </c>
      <c r="B174" s="49">
        <v>8</v>
      </c>
      <c r="C174" s="152" t="str">
        <f xml:space="preserve"> IF(B174="","",setValueToTime(B174))</f>
        <v>0h40min</v>
      </c>
      <c r="D174" s="172"/>
      <c r="E174" s="243"/>
      <c r="F174" s="244"/>
      <c r="G174" s="51"/>
    </row>
    <row r="175" spans="1:7" s="52" customFormat="1" x14ac:dyDescent="0.3">
      <c r="A175" s="53" t="s">
        <v>88</v>
      </c>
      <c r="B175" s="54">
        <v>14</v>
      </c>
      <c r="C175" s="153" t="str">
        <f t="shared" ref="C175:C179" si="24" xml:space="preserve"> IF(B175="","",setValueToTime(B175))</f>
        <v>1h10min</v>
      </c>
      <c r="D175" s="174"/>
      <c r="E175" s="245"/>
      <c r="F175" s="246"/>
      <c r="G175" s="51"/>
    </row>
    <row r="176" spans="1:7" s="52" customFormat="1" ht="27" x14ac:dyDescent="0.3">
      <c r="A176" s="53" t="s">
        <v>92</v>
      </c>
      <c r="B176" s="54">
        <v>20</v>
      </c>
      <c r="C176" s="153" t="str">
        <f t="shared" ref="C176" si="25" xml:space="preserve"> IF(B176="","",setValueToTime(B176))</f>
        <v>1h40min</v>
      </c>
      <c r="D176" s="174"/>
      <c r="E176" s="245"/>
      <c r="F176" s="246"/>
      <c r="G176" s="51"/>
    </row>
    <row r="177" spans="1:7" s="52" customFormat="1" x14ac:dyDescent="0.3">
      <c r="A177" s="173" t="s">
        <v>17</v>
      </c>
      <c r="B177" s="54">
        <v>2</v>
      </c>
      <c r="C177" s="153" t="str">
        <f t="shared" ref="C177" si="26" xml:space="preserve"> IF(B177="","",setValueToTime(B177))</f>
        <v>0h10min</v>
      </c>
      <c r="D177" s="174"/>
      <c r="E177" s="245"/>
      <c r="F177" s="246"/>
      <c r="G177" s="51"/>
    </row>
    <row r="178" spans="1:7" s="52" customFormat="1" x14ac:dyDescent="0.3">
      <c r="A178" s="54" t="s">
        <v>17</v>
      </c>
      <c r="B178" s="54">
        <v>2</v>
      </c>
      <c r="C178" s="154" t="str">
        <f t="shared" si="24"/>
        <v>0h10min</v>
      </c>
      <c r="D178" s="55"/>
      <c r="E178" s="245"/>
      <c r="F178" s="246"/>
      <c r="G178" s="51"/>
    </row>
    <row r="179" spans="1:7" s="52" customFormat="1" ht="15" thickBot="1" x14ac:dyDescent="0.35">
      <c r="A179" s="56" t="s">
        <v>16</v>
      </c>
      <c r="B179" s="56">
        <v>2</v>
      </c>
      <c r="C179" s="155" t="str">
        <f t="shared" si="24"/>
        <v>0h10min</v>
      </c>
      <c r="D179" s="57"/>
      <c r="E179" s="249"/>
      <c r="F179" s="250"/>
      <c r="G179" s="51"/>
    </row>
    <row r="180" spans="1:7" s="52" customFormat="1" ht="15" thickBot="1" x14ac:dyDescent="0.35">
      <c r="A180" s="111" t="s">
        <v>29</v>
      </c>
      <c r="B180" s="84">
        <f>SUM(B174:B179)</f>
        <v>48</v>
      </c>
      <c r="C180" s="111" t="str">
        <f xml:space="preserve"> setValueToTime(B180)</f>
        <v>4h</v>
      </c>
      <c r="D180" s="120"/>
      <c r="E180" s="247"/>
      <c r="F180" s="248"/>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1" t="s">
        <v>14</v>
      </c>
      <c r="F183" s="242"/>
      <c r="G183" s="46"/>
    </row>
    <row r="184" spans="1:7" s="52" customFormat="1" x14ac:dyDescent="0.3">
      <c r="A184" s="48" t="s">
        <v>89</v>
      </c>
      <c r="B184" s="49">
        <v>6</v>
      </c>
      <c r="C184" s="152" t="str">
        <f xml:space="preserve"> IF(B184="","",setValueToTime(B184))</f>
        <v>0h30min</v>
      </c>
      <c r="D184" s="172" t="s">
        <v>100</v>
      </c>
      <c r="E184" s="243"/>
      <c r="F184" s="244"/>
      <c r="G184" s="51"/>
    </row>
    <row r="185" spans="1:7" s="52" customFormat="1" x14ac:dyDescent="0.3">
      <c r="A185" s="173" t="s">
        <v>32</v>
      </c>
      <c r="B185" s="54">
        <v>14</v>
      </c>
      <c r="C185" s="153" t="str">
        <f t="shared" ref="C185:C189" si="27" xml:space="preserve"> IF(B185="","",setValueToTime(B185))</f>
        <v>1h10min</v>
      </c>
      <c r="D185" s="174" t="s">
        <v>101</v>
      </c>
      <c r="E185" s="245"/>
      <c r="F185" s="246"/>
      <c r="G185" s="51"/>
    </row>
    <row r="186" spans="1:7" s="52" customFormat="1" ht="27" x14ac:dyDescent="0.3">
      <c r="A186" s="53" t="s">
        <v>90</v>
      </c>
      <c r="B186" s="54">
        <v>12</v>
      </c>
      <c r="C186" s="153" t="str">
        <f t="shared" si="27"/>
        <v>1h</v>
      </c>
      <c r="D186" s="174" t="s">
        <v>102</v>
      </c>
      <c r="E186" s="245"/>
      <c r="F186" s="246"/>
      <c r="G186" s="51"/>
    </row>
    <row r="187" spans="1:7" s="52" customFormat="1" x14ac:dyDescent="0.3">
      <c r="A187" s="173" t="s">
        <v>91</v>
      </c>
      <c r="B187" s="54">
        <v>2</v>
      </c>
      <c r="C187" s="153" t="str">
        <f t="shared" si="27"/>
        <v>0h10min</v>
      </c>
      <c r="D187" s="174" t="s">
        <v>103</v>
      </c>
      <c r="E187" s="245"/>
      <c r="F187" s="246"/>
      <c r="G187" s="51"/>
    </row>
    <row r="188" spans="1:7" s="52" customFormat="1" x14ac:dyDescent="0.3">
      <c r="A188" s="54" t="s">
        <v>17</v>
      </c>
      <c r="B188" s="54">
        <v>2</v>
      </c>
      <c r="C188" s="154" t="str">
        <f t="shared" si="27"/>
        <v>0h10min</v>
      </c>
      <c r="D188" s="55"/>
      <c r="E188" s="245"/>
      <c r="F188" s="246"/>
      <c r="G188" s="51"/>
    </row>
    <row r="189" spans="1:7" s="52" customFormat="1" ht="15" thickBot="1" x14ac:dyDescent="0.35">
      <c r="A189" s="56" t="s">
        <v>16</v>
      </c>
      <c r="B189" s="56">
        <v>2</v>
      </c>
      <c r="C189" s="155" t="str">
        <f t="shared" si="27"/>
        <v>0h10min</v>
      </c>
      <c r="D189" s="57"/>
      <c r="E189" s="249"/>
      <c r="F189" s="250"/>
      <c r="G189" s="51"/>
    </row>
    <row r="190" spans="1:7" s="52" customFormat="1" ht="15" thickBot="1" x14ac:dyDescent="0.35">
      <c r="A190" s="111" t="s">
        <v>29</v>
      </c>
      <c r="B190" s="84">
        <f>SUM(B184:B189)</f>
        <v>38</v>
      </c>
      <c r="C190" s="111" t="str">
        <f xml:space="preserve"> setValueToTime(B190)</f>
        <v>3h10min</v>
      </c>
      <c r="D190" s="120"/>
      <c r="E190" s="247"/>
      <c r="F190" s="248"/>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6"/>
  <sheetViews>
    <sheetView showGridLines="0" tabSelected="1" zoomScale="115" zoomScaleNormal="115" zoomScaleSheetLayoutView="98" workbookViewId="0">
      <pane ySplit="1" topLeftCell="A59" activePane="bottomLeft" state="frozen"/>
      <selection pane="bottomLeft" activeCell="D67" sqref="D67"/>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1" t="s">
        <v>14</v>
      </c>
      <c r="F3" s="252"/>
      <c r="G3" s="46"/>
    </row>
    <row r="4" spans="1:7" s="52" customFormat="1" x14ac:dyDescent="0.3">
      <c r="A4" s="48"/>
      <c r="B4" s="49"/>
      <c r="C4" s="152" t="str">
        <f xml:space="preserve"> IF(B4="","",setValueToTime(B4))</f>
        <v/>
      </c>
      <c r="D4" s="50"/>
      <c r="E4" s="243"/>
      <c r="F4" s="244"/>
      <c r="G4" s="51"/>
    </row>
    <row r="5" spans="1:7" s="52" customFormat="1" x14ac:dyDescent="0.3">
      <c r="A5" s="53"/>
      <c r="B5" s="54"/>
      <c r="C5" s="153" t="str">
        <f t="shared" ref="C5:C11" si="0" xml:space="preserve"> IF(B5="","",setValueToTime(B5))</f>
        <v/>
      </c>
      <c r="D5" s="55"/>
      <c r="E5" s="245"/>
      <c r="F5" s="246"/>
      <c r="G5" s="51"/>
    </row>
    <row r="6" spans="1:7" s="52" customFormat="1" x14ac:dyDescent="0.3">
      <c r="A6" s="53"/>
      <c r="B6" s="54"/>
      <c r="C6" s="153" t="str">
        <f t="shared" si="0"/>
        <v/>
      </c>
      <c r="D6" s="55"/>
      <c r="E6" s="245"/>
      <c r="F6" s="246"/>
      <c r="G6" s="51"/>
    </row>
    <row r="7" spans="1:7" s="52" customFormat="1" x14ac:dyDescent="0.3">
      <c r="A7" s="53"/>
      <c r="B7" s="54"/>
      <c r="C7" s="153"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x14ac:dyDescent="0.3">
      <c r="A10" s="54"/>
      <c r="B10" s="54"/>
      <c r="C10" s="154" t="str">
        <f t="shared" si="0"/>
        <v/>
      </c>
      <c r="D10" s="55"/>
      <c r="E10" s="245"/>
      <c r="F10" s="246"/>
      <c r="G10" s="51"/>
    </row>
    <row r="11" spans="1:7" s="52" customFormat="1" ht="15" thickBot="1" x14ac:dyDescent="0.35">
      <c r="A11" s="56"/>
      <c r="B11" s="56"/>
      <c r="C11" s="155" t="str">
        <f t="shared" si="0"/>
        <v/>
      </c>
      <c r="D11" s="57"/>
      <c r="E11" s="249"/>
      <c r="F11" s="250"/>
      <c r="G11" s="51"/>
    </row>
    <row r="12" spans="1:7" s="52" customFormat="1" ht="15" thickBot="1" x14ac:dyDescent="0.35">
      <c r="A12" s="162" t="s">
        <v>29</v>
      </c>
      <c r="B12" s="83">
        <f>SUM(B4:B11)</f>
        <v>0</v>
      </c>
      <c r="C12" s="162" t="str">
        <f xml:space="preserve"> setValueToTime(B12)</f>
        <v>0h</v>
      </c>
      <c r="D12" s="121"/>
      <c r="E12" s="253"/>
      <c r="F12" s="254"/>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1" t="s">
        <v>14</v>
      </c>
      <c r="F15" s="252"/>
      <c r="G15" s="46"/>
    </row>
    <row r="16" spans="1:7" s="52" customFormat="1" x14ac:dyDescent="0.3">
      <c r="A16" s="48"/>
      <c r="B16" s="49"/>
      <c r="C16" s="152" t="str">
        <f xml:space="preserve"> IF(B16="","",setValueToTime(B16))</f>
        <v/>
      </c>
      <c r="D16" s="50"/>
      <c r="E16" s="243"/>
      <c r="F16" s="244"/>
      <c r="G16" s="51"/>
    </row>
    <row r="17" spans="1:7" s="52" customFormat="1" x14ac:dyDescent="0.3">
      <c r="A17" s="53"/>
      <c r="B17" s="54"/>
      <c r="C17" s="153" t="str">
        <f t="shared" ref="C17:C23" si="1" xml:space="preserve"> IF(B17="","",setValueToTime(B17))</f>
        <v/>
      </c>
      <c r="D17" s="55"/>
      <c r="E17" s="245"/>
      <c r="F17" s="246"/>
      <c r="G17" s="51"/>
    </row>
    <row r="18" spans="1:7" s="52" customFormat="1" x14ac:dyDescent="0.3">
      <c r="A18" s="53"/>
      <c r="B18" s="54"/>
      <c r="C18" s="153" t="str">
        <f t="shared" si="1"/>
        <v/>
      </c>
      <c r="D18" s="55"/>
      <c r="E18" s="245"/>
      <c r="F18" s="246"/>
      <c r="G18" s="51"/>
    </row>
    <row r="19" spans="1:7" s="52" customFormat="1" x14ac:dyDescent="0.3">
      <c r="A19" s="53"/>
      <c r="B19" s="54"/>
      <c r="C19" s="153" t="str">
        <f t="shared" si="1"/>
        <v/>
      </c>
      <c r="D19" s="55"/>
      <c r="E19" s="245"/>
      <c r="F19" s="246"/>
      <c r="G19" s="51"/>
    </row>
    <row r="20" spans="1:7" s="52" customFormat="1" x14ac:dyDescent="0.3">
      <c r="A20" s="54"/>
      <c r="B20" s="54"/>
      <c r="C20" s="154" t="str">
        <f t="shared" si="1"/>
        <v/>
      </c>
      <c r="D20" s="55"/>
      <c r="E20" s="245"/>
      <c r="F20" s="246"/>
      <c r="G20" s="51"/>
    </row>
    <row r="21" spans="1:7" s="52" customFormat="1" x14ac:dyDescent="0.3">
      <c r="A21" s="54"/>
      <c r="B21" s="54"/>
      <c r="C21" s="154" t="str">
        <f t="shared" si="1"/>
        <v/>
      </c>
      <c r="D21" s="55"/>
      <c r="E21" s="245"/>
      <c r="F21" s="246"/>
      <c r="G21" s="51"/>
    </row>
    <row r="22" spans="1:7" s="52" customFormat="1" x14ac:dyDescent="0.3">
      <c r="A22" s="54"/>
      <c r="B22" s="54"/>
      <c r="C22" s="154" t="str">
        <f t="shared" si="1"/>
        <v/>
      </c>
      <c r="D22" s="55"/>
      <c r="E22" s="245"/>
      <c r="F22" s="246"/>
      <c r="G22" s="51"/>
    </row>
    <row r="23" spans="1:7" s="52" customFormat="1" ht="15" thickBot="1" x14ac:dyDescent="0.35">
      <c r="A23" s="56"/>
      <c r="B23" s="56"/>
      <c r="C23" s="155" t="str">
        <f t="shared" si="1"/>
        <v/>
      </c>
      <c r="D23" s="57"/>
      <c r="E23" s="249"/>
      <c r="F23" s="250"/>
      <c r="G23" s="51"/>
    </row>
    <row r="24" spans="1:7" s="52" customFormat="1" ht="15" thickBot="1" x14ac:dyDescent="0.35">
      <c r="A24" s="162" t="s">
        <v>29</v>
      </c>
      <c r="B24" s="83">
        <f>SUM(B16:B23)</f>
        <v>0</v>
      </c>
      <c r="C24" s="162" t="str">
        <f xml:space="preserve"> setValueToTime(B24)</f>
        <v>0h</v>
      </c>
      <c r="D24" s="121"/>
      <c r="E24" s="253"/>
      <c r="F24" s="254"/>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1" t="s">
        <v>14</v>
      </c>
      <c r="F27" s="252"/>
      <c r="G27" s="46"/>
    </row>
    <row r="28" spans="1:7" s="52" customFormat="1" x14ac:dyDescent="0.3">
      <c r="A28" s="48"/>
      <c r="B28" s="49"/>
      <c r="C28" s="152" t="str">
        <f xml:space="preserve"> IF(B28="","",setValueToTime(B28))</f>
        <v/>
      </c>
      <c r="D28" s="50"/>
      <c r="E28" s="243"/>
      <c r="F28" s="244"/>
      <c r="G28" s="51"/>
    </row>
    <row r="29" spans="1:7" s="52" customFormat="1" x14ac:dyDescent="0.3">
      <c r="A29" s="53"/>
      <c r="B29" s="54"/>
      <c r="C29" s="153" t="str">
        <f t="shared" ref="C29:C35" si="2" xml:space="preserve"> IF(B29="","",setValueToTime(B29))</f>
        <v/>
      </c>
      <c r="D29" s="55"/>
      <c r="E29" s="245"/>
      <c r="F29" s="246"/>
      <c r="G29" s="51"/>
    </row>
    <row r="30" spans="1:7" s="52" customFormat="1" x14ac:dyDescent="0.3">
      <c r="A30" s="53"/>
      <c r="B30" s="54"/>
      <c r="C30" s="153" t="str">
        <f t="shared" si="2"/>
        <v/>
      </c>
      <c r="D30" s="55"/>
      <c r="E30" s="245"/>
      <c r="F30" s="246"/>
      <c r="G30" s="51"/>
    </row>
    <row r="31" spans="1:7" s="52" customFormat="1" x14ac:dyDescent="0.3">
      <c r="A31" s="53"/>
      <c r="B31" s="54"/>
      <c r="C31" s="153" t="str">
        <f t="shared" si="2"/>
        <v/>
      </c>
      <c r="D31" s="55"/>
      <c r="E31" s="245"/>
      <c r="F31" s="246"/>
      <c r="G31" s="51"/>
    </row>
    <row r="32" spans="1:7" s="52" customFormat="1" x14ac:dyDescent="0.3">
      <c r="A32" s="54"/>
      <c r="B32" s="54"/>
      <c r="C32" s="154" t="str">
        <f t="shared" si="2"/>
        <v/>
      </c>
      <c r="D32" s="55"/>
      <c r="E32" s="245"/>
      <c r="F32" s="246"/>
      <c r="G32" s="51"/>
    </row>
    <row r="33" spans="1:7" s="52" customFormat="1" x14ac:dyDescent="0.3">
      <c r="A33" s="54"/>
      <c r="B33" s="54"/>
      <c r="C33" s="154" t="str">
        <f t="shared" si="2"/>
        <v/>
      </c>
      <c r="D33" s="55"/>
      <c r="E33" s="245"/>
      <c r="F33" s="246"/>
      <c r="G33" s="51"/>
    </row>
    <row r="34" spans="1:7" s="52" customFormat="1" x14ac:dyDescent="0.3">
      <c r="A34" s="54"/>
      <c r="B34" s="54"/>
      <c r="C34" s="154" t="str">
        <f t="shared" si="2"/>
        <v/>
      </c>
      <c r="D34" s="55"/>
      <c r="E34" s="245"/>
      <c r="F34" s="246"/>
      <c r="G34" s="51"/>
    </row>
    <row r="35" spans="1:7" s="52" customFormat="1" ht="15" thickBot="1" x14ac:dyDescent="0.35">
      <c r="A35" s="56"/>
      <c r="B35" s="56"/>
      <c r="C35" s="155" t="str">
        <f t="shared" si="2"/>
        <v/>
      </c>
      <c r="D35" s="57"/>
      <c r="E35" s="249"/>
      <c r="F35" s="250"/>
      <c r="G35" s="51"/>
    </row>
    <row r="36" spans="1:7" s="52" customFormat="1" ht="15" thickBot="1" x14ac:dyDescent="0.35">
      <c r="A36" s="162" t="s">
        <v>29</v>
      </c>
      <c r="B36" s="83">
        <f>SUM(B28:B35)</f>
        <v>0</v>
      </c>
      <c r="C36" s="162" t="str">
        <f xml:space="preserve"> setValueToTime(B36)</f>
        <v>0h</v>
      </c>
      <c r="D36" s="121"/>
      <c r="E36" s="253"/>
      <c r="F36" s="254"/>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1" t="s">
        <v>14</v>
      </c>
      <c r="F39" s="252"/>
      <c r="G39" s="46"/>
    </row>
    <row r="40" spans="1:7" s="52" customFormat="1" x14ac:dyDescent="0.3">
      <c r="A40" s="48"/>
      <c r="B40" s="49"/>
      <c r="C40" s="152" t="str">
        <f xml:space="preserve"> IF(B40="","",setValueToTime(B40))</f>
        <v/>
      </c>
      <c r="D40" s="50"/>
      <c r="E40" s="243"/>
      <c r="F40" s="244"/>
      <c r="G40" s="51"/>
    </row>
    <row r="41" spans="1:7" s="52" customFormat="1" x14ac:dyDescent="0.3">
      <c r="A41" s="53"/>
      <c r="B41" s="54"/>
      <c r="C41" s="153" t="str">
        <f t="shared" ref="C41:C47" si="3" xml:space="preserve"> IF(B41="","",setValueToTime(B41))</f>
        <v/>
      </c>
      <c r="D41" s="55"/>
      <c r="E41" s="245"/>
      <c r="F41" s="246"/>
      <c r="G41" s="51"/>
    </row>
    <row r="42" spans="1:7" s="52" customFormat="1" x14ac:dyDescent="0.3">
      <c r="A42" s="53"/>
      <c r="B42" s="54"/>
      <c r="C42" s="153" t="str">
        <f t="shared" si="3"/>
        <v/>
      </c>
      <c r="D42" s="55"/>
      <c r="E42" s="245"/>
      <c r="F42" s="246"/>
      <c r="G42" s="51"/>
    </row>
    <row r="43" spans="1:7" s="52" customFormat="1" x14ac:dyDescent="0.3">
      <c r="A43" s="53"/>
      <c r="B43" s="54"/>
      <c r="C43" s="153" t="str">
        <f t="shared" si="3"/>
        <v/>
      </c>
      <c r="D43" s="55"/>
      <c r="E43" s="245"/>
      <c r="F43" s="246"/>
      <c r="G43" s="51"/>
    </row>
    <row r="44" spans="1:7" s="52" customFormat="1" x14ac:dyDescent="0.3">
      <c r="A44" s="54"/>
      <c r="B44" s="54"/>
      <c r="C44" s="154" t="str">
        <f t="shared" si="3"/>
        <v/>
      </c>
      <c r="D44" s="55"/>
      <c r="E44" s="245"/>
      <c r="F44" s="246"/>
      <c r="G44" s="51"/>
    </row>
    <row r="45" spans="1:7" s="52" customFormat="1" x14ac:dyDescent="0.3">
      <c r="A45" s="54"/>
      <c r="B45" s="54"/>
      <c r="C45" s="154" t="str">
        <f t="shared" si="3"/>
        <v/>
      </c>
      <c r="D45" s="55"/>
      <c r="E45" s="245"/>
      <c r="F45" s="246"/>
      <c r="G45" s="51"/>
    </row>
    <row r="46" spans="1:7" s="52" customFormat="1" x14ac:dyDescent="0.3">
      <c r="A46" s="54"/>
      <c r="B46" s="54"/>
      <c r="C46" s="154" t="str">
        <f t="shared" si="3"/>
        <v/>
      </c>
      <c r="D46" s="55"/>
      <c r="E46" s="245"/>
      <c r="F46" s="246"/>
      <c r="G46" s="51"/>
    </row>
    <row r="47" spans="1:7" s="52" customFormat="1" ht="15" thickBot="1" x14ac:dyDescent="0.35">
      <c r="A47" s="56"/>
      <c r="B47" s="56"/>
      <c r="C47" s="155" t="str">
        <f t="shared" si="3"/>
        <v/>
      </c>
      <c r="D47" s="57"/>
      <c r="E47" s="249"/>
      <c r="F47" s="250"/>
      <c r="G47" s="51"/>
    </row>
    <row r="48" spans="1:7" s="52" customFormat="1" ht="15" thickBot="1" x14ac:dyDescent="0.35">
      <c r="A48" s="162" t="s">
        <v>29</v>
      </c>
      <c r="B48" s="83">
        <f>SUM(B40:B47)</f>
        <v>0</v>
      </c>
      <c r="C48" s="162" t="str">
        <f xml:space="preserve"> setValueToTime(B48)</f>
        <v>0h</v>
      </c>
      <c r="D48" s="121"/>
      <c r="E48" s="253"/>
      <c r="F48" s="254"/>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1" t="s">
        <v>14</v>
      </c>
      <c r="F51" s="252"/>
      <c r="G51" s="46"/>
    </row>
    <row r="52" spans="1:7" s="52" customFormat="1" x14ac:dyDescent="0.3">
      <c r="A52" s="48"/>
      <c r="B52" s="49"/>
      <c r="C52" s="152" t="str">
        <f xml:space="preserve"> IF(B52="","",setValueToTime(B52))</f>
        <v/>
      </c>
      <c r="D52" s="50"/>
      <c r="E52" s="243"/>
      <c r="F52" s="244"/>
      <c r="G52" s="51"/>
    </row>
    <row r="53" spans="1:7" s="52" customFormat="1" x14ac:dyDescent="0.3">
      <c r="A53" s="53"/>
      <c r="B53" s="54"/>
      <c r="C53" s="153" t="str">
        <f t="shared" ref="C53:C59" si="4" xml:space="preserve"> IF(B53="","",setValueToTime(B53))</f>
        <v/>
      </c>
      <c r="D53" s="55"/>
      <c r="E53" s="245"/>
      <c r="F53" s="246"/>
      <c r="G53" s="51"/>
    </row>
    <row r="54" spans="1:7" s="52" customFormat="1" x14ac:dyDescent="0.3">
      <c r="A54" s="53"/>
      <c r="B54" s="54"/>
      <c r="C54" s="153" t="str">
        <f t="shared" si="4"/>
        <v/>
      </c>
      <c r="D54" s="55"/>
      <c r="E54" s="245"/>
      <c r="F54" s="246"/>
      <c r="G54" s="51"/>
    </row>
    <row r="55" spans="1:7" s="52" customFormat="1" x14ac:dyDescent="0.3">
      <c r="A55" s="53"/>
      <c r="B55" s="54"/>
      <c r="C55" s="153" t="str">
        <f t="shared" si="4"/>
        <v/>
      </c>
      <c r="D55" s="55"/>
      <c r="E55" s="245"/>
      <c r="F55" s="246"/>
      <c r="G55" s="51"/>
    </row>
    <row r="56" spans="1:7" s="52" customFormat="1" x14ac:dyDescent="0.3">
      <c r="A56" s="54"/>
      <c r="B56" s="54"/>
      <c r="C56" s="154" t="str">
        <f t="shared" si="4"/>
        <v/>
      </c>
      <c r="D56" s="55"/>
      <c r="E56" s="245"/>
      <c r="F56" s="246"/>
      <c r="G56" s="51"/>
    </row>
    <row r="57" spans="1:7" s="52" customFormat="1" x14ac:dyDescent="0.3">
      <c r="A57" s="54"/>
      <c r="B57" s="54"/>
      <c r="C57" s="154" t="str">
        <f t="shared" si="4"/>
        <v/>
      </c>
      <c r="D57" s="55"/>
      <c r="E57" s="245"/>
      <c r="F57" s="246"/>
      <c r="G57" s="51"/>
    </row>
    <row r="58" spans="1:7" s="52" customFormat="1" x14ac:dyDescent="0.3">
      <c r="A58" s="54"/>
      <c r="B58" s="54"/>
      <c r="C58" s="154" t="str">
        <f t="shared" si="4"/>
        <v/>
      </c>
      <c r="D58" s="55"/>
      <c r="E58" s="245"/>
      <c r="F58" s="246"/>
      <c r="G58" s="51"/>
    </row>
    <row r="59" spans="1:7" s="52" customFormat="1" ht="15" thickBot="1" x14ac:dyDescent="0.35">
      <c r="A59" s="56"/>
      <c r="B59" s="56"/>
      <c r="C59" s="155" t="str">
        <f t="shared" si="4"/>
        <v/>
      </c>
      <c r="D59" s="57"/>
      <c r="E59" s="249"/>
      <c r="F59" s="250"/>
      <c r="G59" s="51"/>
    </row>
    <row r="60" spans="1:7" s="52" customFormat="1" ht="15" thickBot="1" x14ac:dyDescent="0.35">
      <c r="A60" s="162" t="s">
        <v>29</v>
      </c>
      <c r="B60" s="83">
        <f>SUM(B52:B59)</f>
        <v>0</v>
      </c>
      <c r="C60" s="162" t="str">
        <f xml:space="preserve"> setValueToTime(B60)</f>
        <v>0h</v>
      </c>
      <c r="D60" s="121"/>
      <c r="E60" s="253"/>
      <c r="F60" s="254"/>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1" t="s">
        <v>14</v>
      </c>
      <c r="F63" s="252"/>
      <c r="G63" s="46"/>
    </row>
    <row r="64" spans="1:7" s="52" customFormat="1" x14ac:dyDescent="0.3">
      <c r="A64" s="48" t="s">
        <v>16</v>
      </c>
      <c r="B64" s="49">
        <v>7</v>
      </c>
      <c r="C64" s="152" t="str">
        <f xml:space="preserve"> IF(B64="","",setValueToTime(B64))</f>
        <v>0h35min</v>
      </c>
      <c r="D64" s="172" t="s">
        <v>204</v>
      </c>
      <c r="E64" s="243"/>
      <c r="F64" s="244"/>
      <c r="G64" s="51"/>
    </row>
    <row r="65" spans="1:7" s="52" customFormat="1" x14ac:dyDescent="0.3">
      <c r="A65" s="53"/>
      <c r="B65" s="54"/>
      <c r="C65" s="153" t="str">
        <f t="shared" ref="C65:C71" si="5" xml:space="preserve"> IF(B65="","",setValueToTime(B65))</f>
        <v/>
      </c>
      <c r="D65" s="174" t="s">
        <v>205</v>
      </c>
      <c r="E65" s="245"/>
      <c r="F65" s="246"/>
      <c r="G65" s="51"/>
    </row>
    <row r="66" spans="1:7" s="52" customFormat="1" x14ac:dyDescent="0.3">
      <c r="A66" s="53"/>
      <c r="B66" s="54"/>
      <c r="C66" s="153" t="str">
        <f t="shared" si="5"/>
        <v/>
      </c>
      <c r="D66" s="55"/>
      <c r="E66" s="245"/>
      <c r="F66" s="246"/>
      <c r="G66" s="51"/>
    </row>
    <row r="67" spans="1:7" s="52" customFormat="1" x14ac:dyDescent="0.3">
      <c r="A67" s="53"/>
      <c r="B67" s="54"/>
      <c r="C67" s="153" t="str">
        <f t="shared" si="5"/>
        <v/>
      </c>
      <c r="D67" s="55"/>
      <c r="E67" s="245"/>
      <c r="F67" s="246"/>
      <c r="G67" s="51"/>
    </row>
    <row r="68" spans="1:7" s="52" customFormat="1" x14ac:dyDescent="0.3">
      <c r="A68" s="54"/>
      <c r="B68" s="54"/>
      <c r="C68" s="154" t="str">
        <f t="shared" si="5"/>
        <v/>
      </c>
      <c r="D68" s="55"/>
      <c r="E68" s="245"/>
      <c r="F68" s="246"/>
      <c r="G68" s="51"/>
    </row>
    <row r="69" spans="1:7" s="52" customFormat="1" x14ac:dyDescent="0.3">
      <c r="A69" s="54"/>
      <c r="B69" s="54"/>
      <c r="C69" s="154" t="str">
        <f t="shared" si="5"/>
        <v/>
      </c>
      <c r="D69" s="55"/>
      <c r="E69" s="245"/>
      <c r="F69" s="246"/>
      <c r="G69" s="51"/>
    </row>
    <row r="70" spans="1:7" s="52" customFormat="1" x14ac:dyDescent="0.3">
      <c r="A70" s="54"/>
      <c r="B70" s="54"/>
      <c r="C70" s="154" t="str">
        <f t="shared" si="5"/>
        <v/>
      </c>
      <c r="D70" s="55"/>
      <c r="E70" s="245"/>
      <c r="F70" s="246"/>
      <c r="G70" s="51"/>
    </row>
    <row r="71" spans="1:7" s="52" customFormat="1" ht="15" thickBot="1" x14ac:dyDescent="0.35">
      <c r="A71" s="56"/>
      <c r="B71" s="56"/>
      <c r="C71" s="155" t="str">
        <f t="shared" si="5"/>
        <v/>
      </c>
      <c r="D71" s="57"/>
      <c r="E71" s="249"/>
      <c r="F71" s="250"/>
      <c r="G71" s="51"/>
    </row>
    <row r="72" spans="1:7" s="52" customFormat="1" ht="15" thickBot="1" x14ac:dyDescent="0.35">
      <c r="A72" s="162" t="s">
        <v>29</v>
      </c>
      <c r="B72" s="83">
        <f>SUM(B64:B71)</f>
        <v>7</v>
      </c>
      <c r="C72" s="162" t="str">
        <f xml:space="preserve"> setValueToTime(B72)</f>
        <v>0h35min</v>
      </c>
      <c r="D72" s="121"/>
      <c r="E72" s="253"/>
      <c r="F72" s="254"/>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1" t="s">
        <v>14</v>
      </c>
      <c r="F75" s="252"/>
      <c r="G75" s="46"/>
    </row>
    <row r="76" spans="1:7" s="52" customFormat="1" ht="108" x14ac:dyDescent="0.3">
      <c r="A76" s="48" t="s">
        <v>97</v>
      </c>
      <c r="B76" s="49">
        <v>15</v>
      </c>
      <c r="C76" s="152" t="str">
        <f xml:space="preserve"> IF(B76="","",setValueToTime(B76))</f>
        <v>1h15min</v>
      </c>
      <c r="D76" s="172" t="s">
        <v>198</v>
      </c>
      <c r="E76" s="243"/>
      <c r="F76" s="244"/>
      <c r="G76" s="51"/>
    </row>
    <row r="77" spans="1:7" s="52" customFormat="1" ht="40.5" x14ac:dyDescent="0.3">
      <c r="A77" s="53" t="s">
        <v>98</v>
      </c>
      <c r="B77" s="54">
        <v>15</v>
      </c>
      <c r="C77" s="153" t="str">
        <f t="shared" ref="C77:C80" si="6" xml:space="preserve"> IF(B77="","",setValueToTime(B77))</f>
        <v>1h15min</v>
      </c>
      <c r="D77" s="174" t="s">
        <v>199</v>
      </c>
      <c r="E77" s="245"/>
      <c r="F77" s="246"/>
      <c r="G77" s="51"/>
    </row>
    <row r="78" spans="1:7" s="52" customFormat="1" ht="27" x14ac:dyDescent="0.3">
      <c r="A78" s="53" t="s">
        <v>17</v>
      </c>
      <c r="B78" s="54">
        <v>6</v>
      </c>
      <c r="C78" s="153" t="str">
        <f t="shared" si="6"/>
        <v>0h30min</v>
      </c>
      <c r="D78" s="174" t="s">
        <v>203</v>
      </c>
      <c r="E78" s="204"/>
      <c r="F78" s="205"/>
      <c r="G78" s="51"/>
    </row>
    <row r="79" spans="1:7" s="52" customFormat="1" ht="27" x14ac:dyDescent="0.3">
      <c r="A79" s="54" t="s">
        <v>17</v>
      </c>
      <c r="B79" s="54">
        <v>2</v>
      </c>
      <c r="C79" s="153" t="str">
        <f t="shared" si="6"/>
        <v>0h10min</v>
      </c>
      <c r="D79" s="174" t="s">
        <v>202</v>
      </c>
      <c r="E79" s="204"/>
      <c r="F79" s="205"/>
      <c r="G79" s="51"/>
    </row>
    <row r="80" spans="1:7" s="52" customFormat="1" ht="27.75" thickBot="1" x14ac:dyDescent="0.35">
      <c r="A80" s="53"/>
      <c r="B80" s="54"/>
      <c r="C80" s="153" t="str">
        <f t="shared" si="6"/>
        <v/>
      </c>
      <c r="D80" s="174" t="s">
        <v>200</v>
      </c>
      <c r="E80" s="245"/>
      <c r="F80" s="246"/>
      <c r="G80" s="51"/>
    </row>
    <row r="81" spans="1:7" s="52" customFormat="1" ht="15" thickBot="1" x14ac:dyDescent="0.35">
      <c r="A81" s="162" t="s">
        <v>29</v>
      </c>
      <c r="B81" s="83">
        <f>SUM(B76:B80)</f>
        <v>38</v>
      </c>
      <c r="C81" s="162" t="str">
        <f xml:space="preserve"> setValueToTime(B81)</f>
        <v>3h10min</v>
      </c>
      <c r="D81" s="121"/>
      <c r="E81" s="253"/>
      <c r="F81" s="254"/>
      <c r="G81" s="51"/>
    </row>
    <row r="82" spans="1:7" s="59" customFormat="1" ht="15" thickBot="1" x14ac:dyDescent="0.35">
      <c r="A82" s="77"/>
      <c r="B82" s="77"/>
      <c r="C82" s="77"/>
      <c r="D82" s="77"/>
      <c r="E82" s="77"/>
      <c r="F82" s="77"/>
      <c r="G82" s="58"/>
    </row>
    <row r="83" spans="1:7" s="47" customFormat="1" ht="30" customHeight="1" thickBot="1" x14ac:dyDescent="0.3">
      <c r="A83" s="156" t="s">
        <v>12</v>
      </c>
      <c r="B83" s="164">
        <v>19</v>
      </c>
      <c r="C83" s="164"/>
      <c r="D83" s="157" t="s">
        <v>15</v>
      </c>
      <c r="E83" s="158" t="s">
        <v>78</v>
      </c>
      <c r="F83" s="159" t="s">
        <v>45</v>
      </c>
      <c r="G83" s="46"/>
    </row>
    <row r="84" spans="1:7" s="47" customFormat="1" ht="30" customHeight="1" thickBot="1" x14ac:dyDescent="0.3">
      <c r="A84" s="78" t="s">
        <v>5</v>
      </c>
      <c r="B84" s="161" t="s">
        <v>41</v>
      </c>
      <c r="C84" s="160">
        <v>38</v>
      </c>
      <c r="D84" s="78" t="s">
        <v>13</v>
      </c>
      <c r="E84" s="251" t="s">
        <v>14</v>
      </c>
      <c r="F84" s="252"/>
      <c r="G84" s="46"/>
    </row>
    <row r="85" spans="1:7" s="52" customFormat="1" ht="27" x14ac:dyDescent="0.3">
      <c r="A85" s="48" t="s">
        <v>190</v>
      </c>
      <c r="B85" s="49">
        <v>7</v>
      </c>
      <c r="C85" s="152" t="str">
        <f xml:space="preserve"> IF(B85="","",setValueToTime(B85))</f>
        <v>0h35min</v>
      </c>
      <c r="D85" s="172" t="s">
        <v>194</v>
      </c>
      <c r="E85" s="243"/>
      <c r="F85" s="244"/>
      <c r="G85" s="51"/>
    </row>
    <row r="86" spans="1:7" s="52" customFormat="1" ht="54" x14ac:dyDescent="0.3">
      <c r="A86" s="53" t="s">
        <v>97</v>
      </c>
      <c r="B86" s="54">
        <v>29</v>
      </c>
      <c r="C86" s="153" t="str">
        <f t="shared" ref="C86:C87" si="7" xml:space="preserve"> IF(B86="","",setValueToTime(B86))</f>
        <v>2h25min</v>
      </c>
      <c r="D86" s="174" t="s">
        <v>193</v>
      </c>
      <c r="E86" s="245"/>
      <c r="F86" s="246"/>
      <c r="G86" s="51"/>
    </row>
    <row r="87" spans="1:7" s="52" customFormat="1" ht="27.75" thickBot="1" x14ac:dyDescent="0.35">
      <c r="A87" s="54" t="s">
        <v>17</v>
      </c>
      <c r="B87" s="54">
        <v>2</v>
      </c>
      <c r="C87" s="153" t="str">
        <f t="shared" si="7"/>
        <v>0h10min</v>
      </c>
      <c r="D87" s="174" t="s">
        <v>202</v>
      </c>
      <c r="E87" s="245"/>
      <c r="F87" s="246"/>
      <c r="G87" s="51"/>
    </row>
    <row r="88" spans="1:7" s="52" customFormat="1" ht="15" thickBot="1" x14ac:dyDescent="0.35">
      <c r="A88" s="162" t="s">
        <v>29</v>
      </c>
      <c r="B88" s="83">
        <f>SUM(B85:B87)</f>
        <v>38</v>
      </c>
      <c r="C88" s="162" t="str">
        <f xml:space="preserve"> setValueToTime(B88)</f>
        <v>3h10min</v>
      </c>
      <c r="D88" s="121"/>
      <c r="E88" s="253"/>
      <c r="F88" s="254"/>
      <c r="G88" s="51"/>
    </row>
    <row r="89" spans="1:7" s="59" customFormat="1" ht="15" thickBot="1" x14ac:dyDescent="0.35">
      <c r="A89" s="77"/>
      <c r="B89" s="77"/>
      <c r="C89" s="77"/>
      <c r="D89" s="77"/>
      <c r="E89" s="77"/>
      <c r="F89" s="77"/>
      <c r="G89" s="58"/>
    </row>
    <row r="90" spans="1:7" s="47" customFormat="1" ht="30" customHeight="1" thickBot="1" x14ac:dyDescent="0.3">
      <c r="A90" s="156" t="s">
        <v>12</v>
      </c>
      <c r="B90" s="164">
        <v>18</v>
      </c>
      <c r="C90" s="164"/>
      <c r="D90" s="157" t="s">
        <v>15</v>
      </c>
      <c r="E90" s="158" t="s">
        <v>79</v>
      </c>
      <c r="F90" s="159" t="s">
        <v>45</v>
      </c>
      <c r="G90" s="46"/>
    </row>
    <row r="91" spans="1:7" s="47" customFormat="1" ht="30" customHeight="1" thickBot="1" x14ac:dyDescent="0.3">
      <c r="A91" s="78" t="s">
        <v>5</v>
      </c>
      <c r="B91" s="161" t="s">
        <v>41</v>
      </c>
      <c r="C91" s="160">
        <v>48</v>
      </c>
      <c r="D91" s="78" t="s">
        <v>13</v>
      </c>
      <c r="E91" s="251" t="s">
        <v>14</v>
      </c>
      <c r="F91" s="252"/>
      <c r="G91" s="46"/>
    </row>
    <row r="92" spans="1:7" s="52" customFormat="1" ht="67.5" x14ac:dyDescent="0.3">
      <c r="A92" s="48" t="s">
        <v>16</v>
      </c>
      <c r="B92" s="49">
        <v>34</v>
      </c>
      <c r="C92" s="152" t="str">
        <f xml:space="preserve"> IF(B92="","",setValueToTime(B92))</f>
        <v>2h50min</v>
      </c>
      <c r="D92" s="172" t="s">
        <v>191</v>
      </c>
      <c r="E92" s="243"/>
      <c r="F92" s="244"/>
      <c r="G92" s="51"/>
    </row>
    <row r="93" spans="1:7" s="52" customFormat="1" ht="40.5" x14ac:dyDescent="0.3">
      <c r="A93" s="53" t="s">
        <v>190</v>
      </c>
      <c r="B93" s="54">
        <v>12</v>
      </c>
      <c r="C93" s="153" t="str">
        <f t="shared" ref="C93:C95" si="8" xml:space="preserve"> IF(B93="","",setValueToTime(B93))</f>
        <v>1h</v>
      </c>
      <c r="D93" s="174" t="s">
        <v>192</v>
      </c>
      <c r="E93" s="245"/>
      <c r="F93" s="246"/>
      <c r="G93" s="51"/>
    </row>
    <row r="94" spans="1:7" s="52" customFormat="1" ht="27" x14ac:dyDescent="0.3">
      <c r="A94" s="54" t="s">
        <v>17</v>
      </c>
      <c r="B94" s="54">
        <v>2</v>
      </c>
      <c r="C94" s="153" t="str">
        <f t="shared" si="8"/>
        <v>0h10min</v>
      </c>
      <c r="D94" s="174" t="s">
        <v>202</v>
      </c>
      <c r="E94" s="245"/>
      <c r="F94" s="246"/>
      <c r="G94" s="51"/>
    </row>
    <row r="95" spans="1:7" s="52" customFormat="1" ht="27.75" thickBot="1" x14ac:dyDescent="0.35">
      <c r="A95" s="53"/>
      <c r="B95" s="54"/>
      <c r="C95" s="153" t="str">
        <f t="shared" si="8"/>
        <v/>
      </c>
      <c r="D95" s="174" t="s">
        <v>201</v>
      </c>
      <c r="E95" s="245"/>
      <c r="F95" s="246"/>
      <c r="G95" s="51"/>
    </row>
    <row r="96" spans="1:7" s="52" customFormat="1" ht="15" thickBot="1" x14ac:dyDescent="0.35">
      <c r="A96" s="162" t="s">
        <v>29</v>
      </c>
      <c r="B96" s="83">
        <f>SUM(B92:B95)</f>
        <v>48</v>
      </c>
      <c r="C96" s="162" t="str">
        <f xml:space="preserve"> setValueToTime(B96)</f>
        <v>4h</v>
      </c>
      <c r="D96" s="121"/>
      <c r="E96" s="253"/>
      <c r="F96" s="254"/>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17</v>
      </c>
      <c r="C98" s="164"/>
      <c r="D98" s="157" t="s">
        <v>15</v>
      </c>
      <c r="E98" s="158" t="s">
        <v>80</v>
      </c>
      <c r="F98" s="159" t="s">
        <v>44</v>
      </c>
      <c r="G98" s="46"/>
    </row>
    <row r="99" spans="1:7" s="47" customFormat="1" ht="30" customHeight="1" thickBot="1" x14ac:dyDescent="0.3">
      <c r="A99" s="78" t="s">
        <v>5</v>
      </c>
      <c r="B99" s="161" t="s">
        <v>41</v>
      </c>
      <c r="C99" s="160">
        <v>38</v>
      </c>
      <c r="D99" s="78" t="s">
        <v>13</v>
      </c>
      <c r="E99" s="251" t="s">
        <v>14</v>
      </c>
      <c r="F99" s="252"/>
      <c r="G99" s="46"/>
    </row>
    <row r="100" spans="1:7" s="52" customFormat="1" ht="40.5" x14ac:dyDescent="0.3">
      <c r="A100" s="48" t="s">
        <v>93</v>
      </c>
      <c r="B100" s="49">
        <v>4</v>
      </c>
      <c r="C100" s="152" t="str">
        <f xml:space="preserve"> IF(B100="","",setValueToTime(B100))</f>
        <v>0h20min</v>
      </c>
      <c r="D100" s="172" t="s">
        <v>188</v>
      </c>
      <c r="E100" s="243"/>
      <c r="F100" s="244"/>
      <c r="G100" s="51"/>
    </row>
    <row r="101" spans="1:7" s="52" customFormat="1" ht="27" x14ac:dyDescent="0.3">
      <c r="A101" s="53" t="s">
        <v>16</v>
      </c>
      <c r="B101" s="54">
        <v>32</v>
      </c>
      <c r="C101" s="153" t="str">
        <f t="shared" ref="C101:C103" si="9" xml:space="preserve"> IF(B101="","",setValueToTime(B101))</f>
        <v>2h40min</v>
      </c>
      <c r="D101" s="174" t="s">
        <v>189</v>
      </c>
      <c r="E101" s="245"/>
      <c r="F101" s="246"/>
      <c r="G101" s="51"/>
    </row>
    <row r="102" spans="1:7" s="52" customFormat="1" ht="27" x14ac:dyDescent="0.3">
      <c r="A102" s="54" t="s">
        <v>17</v>
      </c>
      <c r="B102" s="54">
        <v>2</v>
      </c>
      <c r="C102" s="153" t="str">
        <f t="shared" si="9"/>
        <v>0h10min</v>
      </c>
      <c r="D102" s="174" t="s">
        <v>166</v>
      </c>
      <c r="E102" s="245"/>
      <c r="F102" s="246"/>
      <c r="G102" s="51"/>
    </row>
    <row r="103" spans="1:7" s="52" customFormat="1" ht="27.75" thickBot="1" x14ac:dyDescent="0.35">
      <c r="A103" s="53"/>
      <c r="B103" s="54"/>
      <c r="C103" s="153" t="str">
        <f t="shared" si="9"/>
        <v/>
      </c>
      <c r="D103" s="174" t="s">
        <v>197</v>
      </c>
      <c r="E103" s="245"/>
      <c r="F103" s="246"/>
      <c r="G103" s="51"/>
    </row>
    <row r="104" spans="1:7" s="52" customFormat="1" ht="15" thickBot="1" x14ac:dyDescent="0.35">
      <c r="A104" s="162" t="s">
        <v>29</v>
      </c>
      <c r="B104" s="83">
        <f>SUM(B100:B103)</f>
        <v>38</v>
      </c>
      <c r="C104" s="162" t="str">
        <f xml:space="preserve"> setValueToTime(B104)</f>
        <v>3h10min</v>
      </c>
      <c r="D104" s="121"/>
      <c r="E104" s="253"/>
      <c r="F104" s="254"/>
      <c r="G104" s="51"/>
    </row>
    <row r="105" spans="1:7" s="59" customFormat="1" ht="15" thickBot="1" x14ac:dyDescent="0.35">
      <c r="A105" s="77"/>
      <c r="B105" s="77"/>
      <c r="C105" s="77"/>
      <c r="D105" s="77"/>
      <c r="E105" s="77"/>
      <c r="F105" s="77"/>
      <c r="G105" s="58"/>
    </row>
    <row r="106" spans="1:7" s="47" customFormat="1" ht="30" customHeight="1" thickBot="1" x14ac:dyDescent="0.3">
      <c r="A106" s="156" t="s">
        <v>12</v>
      </c>
      <c r="B106" s="164">
        <v>16</v>
      </c>
      <c r="C106" s="164"/>
      <c r="D106" s="157" t="s">
        <v>15</v>
      </c>
      <c r="E106" s="158" t="s">
        <v>80</v>
      </c>
      <c r="F106" s="159" t="s">
        <v>45</v>
      </c>
      <c r="G106" s="46"/>
    </row>
    <row r="107" spans="1:7" s="47" customFormat="1" ht="30" customHeight="1" thickBot="1" x14ac:dyDescent="0.3">
      <c r="A107" s="78" t="s">
        <v>5</v>
      </c>
      <c r="B107" s="161" t="s">
        <v>41</v>
      </c>
      <c r="C107" s="160">
        <v>48</v>
      </c>
      <c r="D107" s="78" t="s">
        <v>13</v>
      </c>
      <c r="E107" s="251" t="s">
        <v>14</v>
      </c>
      <c r="F107" s="252"/>
      <c r="G107" s="46"/>
    </row>
    <row r="108" spans="1:7" s="52" customFormat="1" ht="67.5" x14ac:dyDescent="0.3">
      <c r="A108" s="48" t="s">
        <v>178</v>
      </c>
      <c r="B108" s="49">
        <v>23</v>
      </c>
      <c r="C108" s="152" t="str">
        <f xml:space="preserve"> IF(B108="","",setValueToTime(B108))</f>
        <v>1h55min</v>
      </c>
      <c r="D108" s="172" t="s">
        <v>182</v>
      </c>
      <c r="E108" s="243"/>
      <c r="F108" s="244"/>
      <c r="G108" s="51"/>
    </row>
    <row r="109" spans="1:7" s="52" customFormat="1" ht="81" x14ac:dyDescent="0.3">
      <c r="A109" s="53" t="s">
        <v>88</v>
      </c>
      <c r="B109" s="54">
        <v>4</v>
      </c>
      <c r="C109" s="153" t="str">
        <f t="shared" ref="C109:C115" si="10" xml:space="preserve"> IF(B109="","",setValueToTime(B109))</f>
        <v>0h20min</v>
      </c>
      <c r="D109" s="174" t="s">
        <v>186</v>
      </c>
      <c r="E109" s="255" t="s">
        <v>184</v>
      </c>
      <c r="F109" s="256"/>
      <c r="G109" s="51"/>
    </row>
    <row r="110" spans="1:7" s="52" customFormat="1" ht="94.5" x14ac:dyDescent="0.3">
      <c r="A110" s="53" t="s">
        <v>178</v>
      </c>
      <c r="B110" s="54">
        <v>8</v>
      </c>
      <c r="C110" s="153" t="str">
        <f t="shared" si="10"/>
        <v>0h40min</v>
      </c>
      <c r="D110" s="174" t="s">
        <v>183</v>
      </c>
      <c r="E110" s="245"/>
      <c r="F110" s="246"/>
      <c r="G110" s="51"/>
    </row>
    <row r="111" spans="1:7" s="52" customFormat="1" ht="40.5" x14ac:dyDescent="0.3">
      <c r="A111" s="53" t="s">
        <v>16</v>
      </c>
      <c r="B111" s="54">
        <v>11</v>
      </c>
      <c r="C111" s="153" t="str">
        <f t="shared" si="10"/>
        <v>0h55min</v>
      </c>
      <c r="D111" s="174" t="s">
        <v>185</v>
      </c>
      <c r="E111" s="245"/>
      <c r="F111" s="246"/>
      <c r="G111" s="51"/>
    </row>
    <row r="112" spans="1:7" s="52" customFormat="1" ht="27" x14ac:dyDescent="0.3">
      <c r="A112" s="54" t="s">
        <v>17</v>
      </c>
      <c r="B112" s="54">
        <v>2</v>
      </c>
      <c r="C112" s="154" t="str">
        <f t="shared" si="10"/>
        <v>0h10min</v>
      </c>
      <c r="D112" s="174" t="s">
        <v>187</v>
      </c>
      <c r="E112" s="245"/>
      <c r="F112" s="246"/>
      <c r="G112" s="51"/>
    </row>
    <row r="113" spans="1:7" s="52" customFormat="1" x14ac:dyDescent="0.3">
      <c r="A113" s="54"/>
      <c r="B113" s="54"/>
      <c r="C113" s="154" t="str">
        <f t="shared" si="10"/>
        <v/>
      </c>
      <c r="D113" s="55"/>
      <c r="E113" s="245"/>
      <c r="F113" s="246"/>
      <c r="G113" s="51"/>
    </row>
    <row r="114" spans="1:7" s="52" customFormat="1" x14ac:dyDescent="0.3">
      <c r="A114" s="54"/>
      <c r="B114" s="54"/>
      <c r="C114" s="154" t="str">
        <f t="shared" si="10"/>
        <v/>
      </c>
      <c r="D114" s="55"/>
      <c r="E114" s="245"/>
      <c r="F114" s="246"/>
      <c r="G114" s="51"/>
    </row>
    <row r="115" spans="1:7" s="52" customFormat="1" ht="15" thickBot="1" x14ac:dyDescent="0.35">
      <c r="A115" s="56"/>
      <c r="B115" s="56"/>
      <c r="C115" s="155" t="str">
        <f t="shared" si="10"/>
        <v/>
      </c>
      <c r="D115" s="57"/>
      <c r="E115" s="249"/>
      <c r="F115" s="250"/>
      <c r="G115" s="51"/>
    </row>
    <row r="116" spans="1:7" s="52" customFormat="1" ht="15" thickBot="1" x14ac:dyDescent="0.35">
      <c r="A116" s="162" t="s">
        <v>29</v>
      </c>
      <c r="B116" s="83">
        <f>SUM(B108:B115)</f>
        <v>48</v>
      </c>
      <c r="C116" s="162" t="str">
        <f xml:space="preserve"> setValueToTime(B116)</f>
        <v>4h</v>
      </c>
      <c r="D116" s="121"/>
      <c r="E116" s="253"/>
      <c r="F116" s="254"/>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15</v>
      </c>
      <c r="C118" s="164"/>
      <c r="D118" s="157" t="s">
        <v>15</v>
      </c>
      <c r="E118" s="158" t="s">
        <v>81</v>
      </c>
      <c r="F118" s="159" t="s">
        <v>44</v>
      </c>
      <c r="G118" s="46"/>
    </row>
    <row r="119" spans="1:7" s="47" customFormat="1" ht="30" customHeight="1" thickBot="1" x14ac:dyDescent="0.3">
      <c r="A119" s="78" t="s">
        <v>5</v>
      </c>
      <c r="B119" s="161" t="s">
        <v>41</v>
      </c>
      <c r="C119" s="160">
        <v>38</v>
      </c>
      <c r="D119" s="78" t="s">
        <v>13</v>
      </c>
      <c r="E119" s="251" t="s">
        <v>14</v>
      </c>
      <c r="F119" s="252"/>
      <c r="G119" s="46"/>
    </row>
    <row r="120" spans="1:7" s="52" customFormat="1" ht="108" x14ac:dyDescent="0.3">
      <c r="A120" s="48" t="s">
        <v>16</v>
      </c>
      <c r="B120" s="49">
        <v>20</v>
      </c>
      <c r="C120" s="152" t="str">
        <f xml:space="preserve"> IF(B120="","",setValueToTime(B120))</f>
        <v>1h40min</v>
      </c>
      <c r="D120" s="172" t="s">
        <v>179</v>
      </c>
      <c r="E120" s="243"/>
      <c r="F120" s="244"/>
      <c r="G120" s="51"/>
    </row>
    <row r="121" spans="1:7" s="52" customFormat="1" ht="81" x14ac:dyDescent="0.3">
      <c r="A121" s="53" t="s">
        <v>178</v>
      </c>
      <c r="B121" s="54">
        <v>16</v>
      </c>
      <c r="C121" s="153" t="str">
        <f t="shared" ref="C121:C123" si="11" xml:space="preserve"> IF(B121="","",setValueToTime(B121))</f>
        <v>1h20min</v>
      </c>
      <c r="D121" s="174" t="s">
        <v>181</v>
      </c>
      <c r="E121" s="245"/>
      <c r="F121" s="246"/>
      <c r="G121" s="51"/>
    </row>
    <row r="122" spans="1:7" s="52" customFormat="1" ht="27" x14ac:dyDescent="0.3">
      <c r="A122" s="54" t="s">
        <v>17</v>
      </c>
      <c r="B122" s="54">
        <v>2</v>
      </c>
      <c r="C122" s="153" t="str">
        <f t="shared" si="11"/>
        <v>0h10min</v>
      </c>
      <c r="D122" s="203" t="s">
        <v>166</v>
      </c>
      <c r="E122" s="245"/>
      <c r="F122" s="246"/>
      <c r="G122" s="51"/>
    </row>
    <row r="123" spans="1:7" s="52" customFormat="1" ht="41.25" thickBot="1" x14ac:dyDescent="0.35">
      <c r="A123" s="53"/>
      <c r="B123" s="54"/>
      <c r="C123" s="153" t="str">
        <f t="shared" si="11"/>
        <v/>
      </c>
      <c r="D123" s="174" t="s">
        <v>180</v>
      </c>
      <c r="E123" s="245"/>
      <c r="F123" s="246"/>
      <c r="G123" s="51"/>
    </row>
    <row r="124" spans="1:7" s="52" customFormat="1" ht="15" thickBot="1" x14ac:dyDescent="0.35">
      <c r="A124" s="162" t="s">
        <v>29</v>
      </c>
      <c r="B124" s="83">
        <f>SUM(B120:B123)</f>
        <v>38</v>
      </c>
      <c r="C124" s="162" t="str">
        <f xml:space="preserve"> setValueToTime(B124)</f>
        <v>3h10min</v>
      </c>
      <c r="D124" s="121"/>
      <c r="E124" s="253"/>
      <c r="F124" s="254"/>
      <c r="G124" s="51"/>
    </row>
    <row r="125" spans="1:7" s="59" customFormat="1" ht="15" thickBot="1" x14ac:dyDescent="0.35">
      <c r="A125" s="77"/>
      <c r="B125" s="77"/>
      <c r="C125" s="77"/>
      <c r="D125" s="77"/>
      <c r="E125" s="77"/>
      <c r="F125" s="77"/>
      <c r="G125" s="58"/>
    </row>
    <row r="126" spans="1:7" s="47" customFormat="1" ht="30" customHeight="1" thickBot="1" x14ac:dyDescent="0.3">
      <c r="A126" s="156" t="s">
        <v>12</v>
      </c>
      <c r="B126" s="164">
        <v>14</v>
      </c>
      <c r="C126" s="164"/>
      <c r="D126" s="157" t="s">
        <v>15</v>
      </c>
      <c r="E126" s="158" t="s">
        <v>81</v>
      </c>
      <c r="F126" s="159" t="s">
        <v>45</v>
      </c>
      <c r="G126" s="46"/>
    </row>
    <row r="127" spans="1:7" s="47" customFormat="1" ht="30" customHeight="1" thickBot="1" x14ac:dyDescent="0.3">
      <c r="A127" s="78" t="s">
        <v>5</v>
      </c>
      <c r="B127" s="161" t="s">
        <v>41</v>
      </c>
      <c r="C127" s="160">
        <v>38</v>
      </c>
      <c r="D127" s="78" t="s">
        <v>13</v>
      </c>
      <c r="E127" s="251" t="s">
        <v>14</v>
      </c>
      <c r="F127" s="252"/>
      <c r="G127" s="46"/>
    </row>
    <row r="128" spans="1:7" s="52" customFormat="1" ht="54" x14ac:dyDescent="0.3">
      <c r="A128" s="48" t="s">
        <v>92</v>
      </c>
      <c r="B128" s="49">
        <v>9</v>
      </c>
      <c r="C128" s="152" t="str">
        <f xml:space="preserve"> IF(B128="","",setValueToTime(B128))</f>
        <v>0h45min</v>
      </c>
      <c r="D128" s="172" t="s">
        <v>176</v>
      </c>
      <c r="E128" s="243"/>
      <c r="F128" s="244"/>
      <c r="G128" s="51"/>
    </row>
    <row r="129" spans="1:7" s="52" customFormat="1" ht="67.5" x14ac:dyDescent="0.3">
      <c r="A129" s="53" t="s">
        <v>16</v>
      </c>
      <c r="B129" s="54">
        <v>26</v>
      </c>
      <c r="C129" s="153" t="str">
        <f t="shared" ref="C129:C130" si="12" xml:space="preserve"> IF(B129="","",setValueToTime(B129))</f>
        <v>2h10min</v>
      </c>
      <c r="D129" s="174" t="s">
        <v>177</v>
      </c>
      <c r="E129" s="245"/>
      <c r="F129" s="246"/>
      <c r="G129" s="51"/>
    </row>
    <row r="130" spans="1:7" s="52" customFormat="1" ht="27.75" thickBot="1" x14ac:dyDescent="0.35">
      <c r="A130" s="54" t="s">
        <v>17</v>
      </c>
      <c r="B130" s="54">
        <v>2</v>
      </c>
      <c r="C130" s="153" t="str">
        <f t="shared" si="12"/>
        <v>0h10min</v>
      </c>
      <c r="D130" s="203" t="s">
        <v>166</v>
      </c>
      <c r="E130" s="245"/>
      <c r="F130" s="246"/>
      <c r="G130" s="51"/>
    </row>
    <row r="131" spans="1:7" s="52" customFormat="1" ht="15" thickBot="1" x14ac:dyDescent="0.35">
      <c r="A131" s="162" t="s">
        <v>29</v>
      </c>
      <c r="B131" s="83">
        <f>SUM(B128:B130)</f>
        <v>37</v>
      </c>
      <c r="C131" s="162" t="str">
        <f xml:space="preserve"> setValueToTime(B131)</f>
        <v>3h5min</v>
      </c>
      <c r="D131" s="121"/>
      <c r="E131" s="253"/>
      <c r="F131" s="254"/>
      <c r="G131" s="51"/>
    </row>
    <row r="132" spans="1:7" s="59" customFormat="1" ht="15" thickBot="1" x14ac:dyDescent="0.35">
      <c r="A132" s="77"/>
      <c r="B132" s="77"/>
      <c r="C132" s="77"/>
      <c r="D132" s="77"/>
      <c r="E132" s="77"/>
      <c r="F132" s="77"/>
      <c r="G132" s="58"/>
    </row>
    <row r="133" spans="1:7" s="47" customFormat="1" ht="30" customHeight="1" thickBot="1" x14ac:dyDescent="0.3">
      <c r="A133" s="156" t="s">
        <v>12</v>
      </c>
      <c r="B133" s="164">
        <v>13</v>
      </c>
      <c r="C133" s="164"/>
      <c r="D133" s="157" t="s">
        <v>15</v>
      </c>
      <c r="E133" s="158" t="s">
        <v>82</v>
      </c>
      <c r="F133" s="159" t="s">
        <v>44</v>
      </c>
      <c r="G133" s="46"/>
    </row>
    <row r="134" spans="1:7" s="47" customFormat="1" ht="30" customHeight="1" thickBot="1" x14ac:dyDescent="0.3">
      <c r="A134" s="78" t="s">
        <v>5</v>
      </c>
      <c r="B134" s="161" t="s">
        <v>41</v>
      </c>
      <c r="C134" s="160">
        <v>38</v>
      </c>
      <c r="D134" s="78" t="s">
        <v>13</v>
      </c>
      <c r="E134" s="251" t="s">
        <v>14</v>
      </c>
      <c r="F134" s="252"/>
      <c r="G134" s="46"/>
    </row>
    <row r="135" spans="1:7" s="52" customFormat="1" ht="40.5" x14ac:dyDescent="0.3">
      <c r="A135" s="48" t="s">
        <v>97</v>
      </c>
      <c r="B135" s="49">
        <v>20</v>
      </c>
      <c r="C135" s="152" t="str">
        <f xml:space="preserve"> IF(B135="","",setValueToTime(B135))</f>
        <v>1h40min</v>
      </c>
      <c r="D135" s="172" t="s">
        <v>173</v>
      </c>
      <c r="E135" s="243"/>
      <c r="F135" s="244"/>
      <c r="G135" s="51"/>
    </row>
    <row r="136" spans="1:7" s="52" customFormat="1" ht="27" x14ac:dyDescent="0.3">
      <c r="A136" s="53" t="s">
        <v>16</v>
      </c>
      <c r="B136" s="54">
        <v>16</v>
      </c>
      <c r="C136" s="153" t="str">
        <f t="shared" ref="C136:C138" si="13" xml:space="preserve"> IF(B136="","",setValueToTime(B136))</f>
        <v>1h20min</v>
      </c>
      <c r="D136" s="174" t="s">
        <v>174</v>
      </c>
      <c r="E136" s="245"/>
      <c r="F136" s="246"/>
      <c r="G136" s="51"/>
    </row>
    <row r="137" spans="1:7" s="52" customFormat="1" ht="27" x14ac:dyDescent="0.3">
      <c r="A137" s="54" t="s">
        <v>17</v>
      </c>
      <c r="B137" s="54">
        <v>2</v>
      </c>
      <c r="C137" s="153" t="str">
        <f t="shared" si="13"/>
        <v>0h10min</v>
      </c>
      <c r="D137" s="203" t="s">
        <v>166</v>
      </c>
      <c r="E137" s="245"/>
      <c r="F137" s="246"/>
      <c r="G137" s="51"/>
    </row>
    <row r="138" spans="1:7" s="52" customFormat="1" ht="41.25" thickBot="1" x14ac:dyDescent="0.35">
      <c r="A138" s="53"/>
      <c r="B138" s="54"/>
      <c r="C138" s="153" t="str">
        <f t="shared" si="13"/>
        <v/>
      </c>
      <c r="D138" s="174" t="s">
        <v>175</v>
      </c>
      <c r="E138" s="245"/>
      <c r="F138" s="246"/>
      <c r="G138" s="51"/>
    </row>
    <row r="139" spans="1:7" s="52" customFormat="1" ht="15" thickBot="1" x14ac:dyDescent="0.35">
      <c r="A139" s="162" t="s">
        <v>29</v>
      </c>
      <c r="B139" s="83">
        <f>SUM(B135:B138)</f>
        <v>38</v>
      </c>
      <c r="C139" s="162" t="str">
        <f xml:space="preserve"> setValueToTime(B139)</f>
        <v>3h10min</v>
      </c>
      <c r="D139" s="121"/>
      <c r="E139" s="253"/>
      <c r="F139" s="254"/>
      <c r="G139" s="51"/>
    </row>
    <row r="140" spans="1:7" s="59" customFormat="1" ht="15" thickBot="1" x14ac:dyDescent="0.35">
      <c r="A140" s="77"/>
      <c r="B140" s="77"/>
      <c r="C140" s="77"/>
      <c r="D140" s="77"/>
      <c r="E140" s="77"/>
      <c r="F140" s="77"/>
      <c r="G140" s="58"/>
    </row>
    <row r="141" spans="1:7" s="47" customFormat="1" ht="30" customHeight="1" thickBot="1" x14ac:dyDescent="0.3">
      <c r="A141" s="156" t="s">
        <v>12</v>
      </c>
      <c r="B141" s="164">
        <v>12</v>
      </c>
      <c r="C141" s="164"/>
      <c r="D141" s="157" t="s">
        <v>15</v>
      </c>
      <c r="E141" s="158" t="s">
        <v>82</v>
      </c>
      <c r="F141" s="159" t="s">
        <v>45</v>
      </c>
      <c r="G141" s="46"/>
    </row>
    <row r="142" spans="1:7" s="47" customFormat="1" ht="30" customHeight="1" thickBot="1" x14ac:dyDescent="0.3">
      <c r="A142" s="78" t="s">
        <v>5</v>
      </c>
      <c r="B142" s="161" t="s">
        <v>41</v>
      </c>
      <c r="C142" s="160">
        <v>48</v>
      </c>
      <c r="D142" s="78" t="s">
        <v>13</v>
      </c>
      <c r="E142" s="251" t="s">
        <v>14</v>
      </c>
      <c r="F142" s="252"/>
      <c r="G142" s="46"/>
    </row>
    <row r="143" spans="1:7" s="52" customFormat="1" ht="67.5" x14ac:dyDescent="0.3">
      <c r="A143" s="48" t="s">
        <v>96</v>
      </c>
      <c r="B143" s="49">
        <v>30</v>
      </c>
      <c r="C143" s="152" t="str">
        <f xml:space="preserve"> IF(B143="","",setValueToTime(B143))</f>
        <v>2h30min</v>
      </c>
      <c r="D143" s="172" t="s">
        <v>171</v>
      </c>
      <c r="E143" s="243"/>
      <c r="F143" s="244"/>
      <c r="G143" s="51"/>
    </row>
    <row r="144" spans="1:7" s="52" customFormat="1" ht="67.5" x14ac:dyDescent="0.3">
      <c r="A144" s="53" t="s">
        <v>97</v>
      </c>
      <c r="B144" s="54">
        <v>16</v>
      </c>
      <c r="C144" s="153" t="str">
        <f t="shared" ref="C144:C150" si="14" xml:space="preserve"> IF(B144="","",setValueToTime(B144))</f>
        <v>1h20min</v>
      </c>
      <c r="D144" s="174" t="s">
        <v>172</v>
      </c>
      <c r="E144" s="245"/>
      <c r="F144" s="246"/>
      <c r="G144" s="51"/>
    </row>
    <row r="145" spans="1:7" s="52" customFormat="1" ht="27" x14ac:dyDescent="0.3">
      <c r="A145" s="54" t="s">
        <v>17</v>
      </c>
      <c r="B145" s="54">
        <v>2</v>
      </c>
      <c r="C145" s="153" t="str">
        <f t="shared" si="14"/>
        <v>0h10min</v>
      </c>
      <c r="D145" s="203" t="s">
        <v>166</v>
      </c>
      <c r="E145" s="245"/>
      <c r="F145" s="246"/>
      <c r="G145" s="51"/>
    </row>
    <row r="146" spans="1:7" s="52" customFormat="1" x14ac:dyDescent="0.3">
      <c r="A146" s="53"/>
      <c r="B146" s="54"/>
      <c r="C146" s="153" t="str">
        <f t="shared" si="14"/>
        <v/>
      </c>
      <c r="D146" s="55"/>
      <c r="E146" s="245"/>
      <c r="F146" s="246"/>
      <c r="G146" s="51"/>
    </row>
    <row r="147" spans="1:7" s="52" customFormat="1" x14ac:dyDescent="0.3">
      <c r="A147" s="54"/>
      <c r="B147" s="54"/>
      <c r="C147" s="154" t="str">
        <f t="shared" si="14"/>
        <v/>
      </c>
      <c r="D147" s="55"/>
      <c r="E147" s="245"/>
      <c r="F147" s="246"/>
      <c r="G147" s="51"/>
    </row>
    <row r="148" spans="1:7" s="52" customFormat="1" x14ac:dyDescent="0.3">
      <c r="A148" s="54"/>
      <c r="B148" s="54"/>
      <c r="C148" s="154" t="str">
        <f t="shared" si="14"/>
        <v/>
      </c>
      <c r="D148" s="55"/>
      <c r="E148" s="245"/>
      <c r="F148" s="246"/>
      <c r="G148" s="51"/>
    </row>
    <row r="149" spans="1:7" s="52" customFormat="1" x14ac:dyDescent="0.3">
      <c r="A149" s="54"/>
      <c r="B149" s="54"/>
      <c r="C149" s="154" t="str">
        <f t="shared" si="14"/>
        <v/>
      </c>
      <c r="D149" s="55"/>
      <c r="E149" s="245"/>
      <c r="F149" s="246"/>
      <c r="G149" s="51"/>
    </row>
    <row r="150" spans="1:7" s="52" customFormat="1" ht="15" thickBot="1" x14ac:dyDescent="0.35">
      <c r="A150" s="56"/>
      <c r="B150" s="56"/>
      <c r="C150" s="155" t="str">
        <f t="shared" si="14"/>
        <v/>
      </c>
      <c r="D150" s="57"/>
      <c r="E150" s="249"/>
      <c r="F150" s="250"/>
      <c r="G150" s="51"/>
    </row>
    <row r="151" spans="1:7" s="52" customFormat="1" ht="15" thickBot="1" x14ac:dyDescent="0.35">
      <c r="A151" s="162" t="s">
        <v>29</v>
      </c>
      <c r="B151" s="83">
        <f>SUM(B143:B150)</f>
        <v>48</v>
      </c>
      <c r="C151" s="162" t="str">
        <f xml:space="preserve"> setValueToTime(B151)</f>
        <v>4h</v>
      </c>
      <c r="D151" s="121"/>
      <c r="E151" s="253"/>
      <c r="F151" s="254"/>
      <c r="G151" s="51"/>
    </row>
    <row r="152" spans="1:7" s="59" customFormat="1" ht="15" thickBot="1" x14ac:dyDescent="0.35">
      <c r="A152" s="77"/>
      <c r="B152" s="77"/>
      <c r="C152" s="77"/>
      <c r="D152" s="77"/>
      <c r="E152" s="77"/>
      <c r="F152" s="77"/>
      <c r="G152" s="58"/>
    </row>
    <row r="153" spans="1:7" s="47" customFormat="1" ht="30" customHeight="1" thickBot="1" x14ac:dyDescent="0.3">
      <c r="A153" s="156" t="s">
        <v>12</v>
      </c>
      <c r="B153" s="164">
        <v>11</v>
      </c>
      <c r="C153" s="164"/>
      <c r="D153" s="157" t="s">
        <v>15</v>
      </c>
      <c r="E153" s="158" t="s">
        <v>83</v>
      </c>
      <c r="F153" s="159" t="s">
        <v>44</v>
      </c>
      <c r="G153" s="46"/>
    </row>
    <row r="154" spans="1:7" s="47" customFormat="1" ht="30" customHeight="1" thickBot="1" x14ac:dyDescent="0.3">
      <c r="A154" s="78" t="s">
        <v>5</v>
      </c>
      <c r="B154" s="161" t="s">
        <v>41</v>
      </c>
      <c r="C154" s="160">
        <v>38</v>
      </c>
      <c r="D154" s="78" t="s">
        <v>13</v>
      </c>
      <c r="E154" s="251" t="s">
        <v>14</v>
      </c>
      <c r="F154" s="252"/>
      <c r="G154" s="46"/>
    </row>
    <row r="155" spans="1:7" s="52" customFormat="1" ht="40.5" x14ac:dyDescent="0.3">
      <c r="A155" s="48" t="s">
        <v>93</v>
      </c>
      <c r="B155" s="49">
        <v>12</v>
      </c>
      <c r="C155" s="152" t="str">
        <f xml:space="preserve"> IF(B155="","",setValueToTime(B155))</f>
        <v>1h</v>
      </c>
      <c r="D155" s="172" t="s">
        <v>167</v>
      </c>
      <c r="E155" s="243"/>
      <c r="F155" s="244"/>
      <c r="G155" s="51"/>
    </row>
    <row r="156" spans="1:7" s="52" customFormat="1" ht="40.5" x14ac:dyDescent="0.3">
      <c r="A156" s="53" t="s">
        <v>94</v>
      </c>
      <c r="B156" s="54">
        <v>8</v>
      </c>
      <c r="C156" s="153" t="str">
        <f t="shared" ref="C156:C159" si="15" xml:space="preserve"> IF(B156="","",setValueToTime(B156))</f>
        <v>0h40min</v>
      </c>
      <c r="D156" s="55" t="s">
        <v>168</v>
      </c>
      <c r="E156" s="245"/>
      <c r="F156" s="246"/>
      <c r="G156" s="51"/>
    </row>
    <row r="157" spans="1:7" s="52" customFormat="1" ht="81" x14ac:dyDescent="0.3">
      <c r="A157" s="53" t="s">
        <v>111</v>
      </c>
      <c r="B157" s="54">
        <v>16</v>
      </c>
      <c r="C157" s="153" t="str">
        <f t="shared" si="15"/>
        <v>1h20min</v>
      </c>
      <c r="D157" s="174" t="s">
        <v>169</v>
      </c>
      <c r="E157" s="245"/>
      <c r="F157" s="246"/>
      <c r="G157" s="51"/>
    </row>
    <row r="158" spans="1:7" s="52" customFormat="1" ht="27" x14ac:dyDescent="0.3">
      <c r="A158" s="54" t="s">
        <v>17</v>
      </c>
      <c r="B158" s="54">
        <v>2</v>
      </c>
      <c r="C158" s="153" t="str">
        <f t="shared" si="15"/>
        <v>0h10min</v>
      </c>
      <c r="D158" s="203" t="s">
        <v>166</v>
      </c>
      <c r="E158" s="245"/>
      <c r="F158" s="246"/>
      <c r="G158" s="51"/>
    </row>
    <row r="159" spans="1:7" s="52" customFormat="1" ht="41.25" thickBot="1" x14ac:dyDescent="0.35">
      <c r="A159" s="54"/>
      <c r="B159" s="54"/>
      <c r="C159" s="154" t="str">
        <f t="shared" si="15"/>
        <v/>
      </c>
      <c r="D159" s="174" t="s">
        <v>170</v>
      </c>
      <c r="E159" s="245"/>
      <c r="F159" s="246"/>
      <c r="G159" s="51"/>
    </row>
    <row r="160" spans="1:7" s="52" customFormat="1" ht="15" thickBot="1" x14ac:dyDescent="0.35">
      <c r="A160" s="162" t="s">
        <v>29</v>
      </c>
      <c r="B160" s="83">
        <f>SUM(B155:B159)</f>
        <v>38</v>
      </c>
      <c r="C160" s="162" t="str">
        <f xml:space="preserve"> setValueToTime(B160)</f>
        <v>3h10min</v>
      </c>
      <c r="D160" s="121"/>
      <c r="E160" s="253"/>
      <c r="F160" s="254"/>
      <c r="G160" s="51"/>
    </row>
    <row r="161" spans="1:7" s="59" customFormat="1" ht="15" thickBot="1" x14ac:dyDescent="0.35">
      <c r="A161" s="77"/>
      <c r="B161" s="77"/>
      <c r="C161" s="77"/>
      <c r="D161" s="77"/>
      <c r="E161" s="77"/>
      <c r="F161" s="77"/>
      <c r="G161" s="58"/>
    </row>
    <row r="162" spans="1:7" s="47" customFormat="1" ht="30" customHeight="1" thickBot="1" x14ac:dyDescent="0.3">
      <c r="A162" s="156" t="s">
        <v>12</v>
      </c>
      <c r="B162" s="164">
        <v>10</v>
      </c>
      <c r="C162" s="164"/>
      <c r="D162" s="157" t="s">
        <v>15</v>
      </c>
      <c r="E162" s="158" t="s">
        <v>83</v>
      </c>
      <c r="F162" s="159" t="s">
        <v>45</v>
      </c>
      <c r="G162" s="46"/>
    </row>
    <row r="163" spans="1:7" s="47" customFormat="1" ht="30" customHeight="1" thickBot="1" x14ac:dyDescent="0.3">
      <c r="A163" s="78" t="s">
        <v>5</v>
      </c>
      <c r="B163" s="161" t="s">
        <v>41</v>
      </c>
      <c r="C163" s="160">
        <v>48</v>
      </c>
      <c r="D163" s="78" t="s">
        <v>13</v>
      </c>
      <c r="E163" s="251" t="s">
        <v>14</v>
      </c>
      <c r="F163" s="252"/>
      <c r="G163" s="46"/>
    </row>
    <row r="164" spans="1:7" s="52" customFormat="1" ht="40.5" x14ac:dyDescent="0.3">
      <c r="A164" s="48" t="s">
        <v>92</v>
      </c>
      <c r="B164" s="49">
        <v>15</v>
      </c>
      <c r="C164" s="152" t="str">
        <f xml:space="preserve"> IF(B164="","",setValueToTime(B164))</f>
        <v>1h15min</v>
      </c>
      <c r="D164" s="172" t="s">
        <v>158</v>
      </c>
      <c r="E164" s="257" t="s">
        <v>157</v>
      </c>
      <c r="F164" s="258"/>
      <c r="G164" s="51"/>
    </row>
    <row r="165" spans="1:7" s="52" customFormat="1" ht="81" x14ac:dyDescent="0.3">
      <c r="A165" s="53" t="s">
        <v>93</v>
      </c>
      <c r="B165" s="54">
        <v>3</v>
      </c>
      <c r="C165" s="153" t="str">
        <f t="shared" ref="C165:C168" si="16" xml:space="preserve"> IF(B165="","",setValueToTime(B165))</f>
        <v>0h15min</v>
      </c>
      <c r="D165" s="174" t="s">
        <v>159</v>
      </c>
      <c r="E165" s="255" t="s">
        <v>160</v>
      </c>
      <c r="F165" s="256"/>
      <c r="G165" s="51"/>
    </row>
    <row r="166" spans="1:7" s="52" customFormat="1" ht="67.5" x14ac:dyDescent="0.3">
      <c r="A166" s="53" t="s">
        <v>92</v>
      </c>
      <c r="B166" s="54">
        <v>21</v>
      </c>
      <c r="C166" s="153" t="str">
        <f t="shared" si="16"/>
        <v>1h45min</v>
      </c>
      <c r="D166" s="174" t="s">
        <v>163</v>
      </c>
      <c r="E166" s="255" t="s">
        <v>161</v>
      </c>
      <c r="F166" s="256"/>
      <c r="G166" s="51"/>
    </row>
    <row r="167" spans="1:7" s="52" customFormat="1" ht="40.5" x14ac:dyDescent="0.3">
      <c r="A167" s="53" t="s">
        <v>94</v>
      </c>
      <c r="B167" s="54">
        <v>6</v>
      </c>
      <c r="C167" s="153" t="str">
        <f t="shared" si="16"/>
        <v>0h30min</v>
      </c>
      <c r="D167" s="174" t="s">
        <v>164</v>
      </c>
      <c r="E167" s="255" t="s">
        <v>165</v>
      </c>
      <c r="F167" s="256"/>
      <c r="G167" s="51"/>
    </row>
    <row r="168" spans="1:7" s="52" customFormat="1" ht="27.75" thickBot="1" x14ac:dyDescent="0.35">
      <c r="A168" s="54" t="s">
        <v>17</v>
      </c>
      <c r="B168" s="54">
        <v>3</v>
      </c>
      <c r="C168" s="154" t="str">
        <f t="shared" si="16"/>
        <v>0h15min</v>
      </c>
      <c r="D168" s="203" t="s">
        <v>166</v>
      </c>
      <c r="E168" s="245"/>
      <c r="F168" s="246"/>
      <c r="G168" s="51"/>
    </row>
    <row r="169" spans="1:7" s="52" customFormat="1" ht="15" thickBot="1" x14ac:dyDescent="0.35">
      <c r="A169" s="162" t="s">
        <v>29</v>
      </c>
      <c r="B169" s="83">
        <f>SUM(B164:B168)</f>
        <v>48</v>
      </c>
      <c r="C169" s="162" t="str">
        <f xml:space="preserve"> setValueToTime(B169)</f>
        <v>4h</v>
      </c>
      <c r="D169" s="121"/>
      <c r="E169" s="253"/>
      <c r="F169" s="254"/>
      <c r="G169" s="51"/>
    </row>
    <row r="170" spans="1:7" s="59" customFormat="1" ht="15" thickBot="1" x14ac:dyDescent="0.35">
      <c r="A170" s="77"/>
      <c r="B170" s="77"/>
      <c r="C170" s="77"/>
      <c r="D170" s="77"/>
      <c r="E170" s="77"/>
      <c r="F170" s="77"/>
      <c r="G170" s="58"/>
    </row>
    <row r="171" spans="1:7" s="47" customFormat="1" ht="30" customHeight="1" thickBot="1" x14ac:dyDescent="0.3">
      <c r="A171" s="156" t="s">
        <v>12</v>
      </c>
      <c r="B171" s="164">
        <v>9</v>
      </c>
      <c r="C171" s="164"/>
      <c r="D171" s="157" t="s">
        <v>15</v>
      </c>
      <c r="E171" s="158" t="s">
        <v>84</v>
      </c>
      <c r="F171" s="159" t="s">
        <v>45</v>
      </c>
      <c r="G171" s="46"/>
    </row>
    <row r="172" spans="1:7" s="47" customFormat="1" ht="30" customHeight="1" thickBot="1" x14ac:dyDescent="0.3">
      <c r="A172" s="78" t="s">
        <v>5</v>
      </c>
      <c r="B172" s="161" t="s">
        <v>41</v>
      </c>
      <c r="C172" s="160">
        <v>38</v>
      </c>
      <c r="D172" s="78" t="s">
        <v>13</v>
      </c>
      <c r="E172" s="251" t="s">
        <v>14</v>
      </c>
      <c r="F172" s="252"/>
      <c r="G172" s="46"/>
    </row>
    <row r="173" spans="1:7" s="52" customFormat="1" ht="27" x14ac:dyDescent="0.3">
      <c r="A173" s="48" t="s">
        <v>4</v>
      </c>
      <c r="B173" s="49">
        <v>1</v>
      </c>
      <c r="C173" s="152" t="str">
        <f xml:space="preserve"> IF(B173="","",setValueToTime(B173))</f>
        <v>0h5min</v>
      </c>
      <c r="D173" s="172" t="s">
        <v>152</v>
      </c>
      <c r="E173" s="243"/>
      <c r="F173" s="244"/>
      <c r="G173" s="51"/>
    </row>
    <row r="174" spans="1:7" s="52" customFormat="1" ht="27" x14ac:dyDescent="0.3">
      <c r="A174" s="53" t="s">
        <v>16</v>
      </c>
      <c r="B174" s="54">
        <v>10</v>
      </c>
      <c r="C174" s="153" t="str">
        <f t="shared" ref="C174:C180" si="17" xml:space="preserve"> IF(B174="","",setValueToTime(B174))</f>
        <v>0h50min</v>
      </c>
      <c r="D174" s="174" t="s">
        <v>162</v>
      </c>
      <c r="E174" s="245"/>
      <c r="F174" s="246"/>
      <c r="G174" s="51"/>
    </row>
    <row r="175" spans="1:7" s="52" customFormat="1" ht="67.5" x14ac:dyDescent="0.3">
      <c r="A175" s="53" t="s">
        <v>95</v>
      </c>
      <c r="B175" s="54">
        <v>8</v>
      </c>
      <c r="C175" s="153" t="str">
        <f t="shared" si="17"/>
        <v>0h40min</v>
      </c>
      <c r="D175" s="174" t="s">
        <v>153</v>
      </c>
      <c r="E175" s="245"/>
      <c r="F175" s="246"/>
      <c r="G175" s="51"/>
    </row>
    <row r="176" spans="1:7" s="52" customFormat="1" ht="54" x14ac:dyDescent="0.3">
      <c r="A176" s="53" t="s">
        <v>92</v>
      </c>
      <c r="B176" s="54">
        <v>13</v>
      </c>
      <c r="C176" s="153" t="str">
        <f t="shared" si="17"/>
        <v>1h5min</v>
      </c>
      <c r="D176" s="174" t="s">
        <v>154</v>
      </c>
      <c r="E176" s="245"/>
      <c r="F176" s="246"/>
      <c r="G176" s="51"/>
    </row>
    <row r="177" spans="1:7" s="52" customFormat="1" x14ac:dyDescent="0.3">
      <c r="A177" s="53" t="s">
        <v>16</v>
      </c>
      <c r="B177" s="54">
        <v>3</v>
      </c>
      <c r="C177" s="154" t="str">
        <f t="shared" si="17"/>
        <v>0h15min</v>
      </c>
      <c r="D177" s="174" t="s">
        <v>155</v>
      </c>
      <c r="E177" s="245"/>
      <c r="F177" s="246"/>
      <c r="G177" s="51"/>
    </row>
    <row r="178" spans="1:7" s="52" customFormat="1" ht="27" x14ac:dyDescent="0.3">
      <c r="A178" s="53" t="s">
        <v>17</v>
      </c>
      <c r="B178" s="54">
        <v>3</v>
      </c>
      <c r="C178" s="154" t="str">
        <f t="shared" si="17"/>
        <v>0h15min</v>
      </c>
      <c r="D178" s="174" t="s">
        <v>149</v>
      </c>
      <c r="E178" s="245"/>
      <c r="F178" s="246"/>
      <c r="G178" s="51"/>
    </row>
    <row r="179" spans="1:7" s="52" customFormat="1" ht="40.5" x14ac:dyDescent="0.3">
      <c r="A179" s="54"/>
      <c r="B179" s="54"/>
      <c r="C179" s="154" t="str">
        <f t="shared" si="17"/>
        <v/>
      </c>
      <c r="D179" s="174" t="s">
        <v>156</v>
      </c>
      <c r="E179" s="245"/>
      <c r="F179" s="246"/>
      <c r="G179" s="51"/>
    </row>
    <row r="180" spans="1:7" s="52" customFormat="1" ht="15" thickBot="1" x14ac:dyDescent="0.35">
      <c r="A180" s="56"/>
      <c r="B180" s="56"/>
      <c r="C180" s="155" t="str">
        <f t="shared" si="17"/>
        <v/>
      </c>
      <c r="D180" s="57"/>
      <c r="E180" s="249"/>
      <c r="F180" s="250"/>
      <c r="G180" s="51"/>
    </row>
    <row r="181" spans="1:7" s="52" customFormat="1" ht="15" thickBot="1" x14ac:dyDescent="0.35">
      <c r="A181" s="162" t="s">
        <v>29</v>
      </c>
      <c r="B181" s="83">
        <f>SUM(B173:B180)</f>
        <v>38</v>
      </c>
      <c r="C181" s="162" t="str">
        <f xml:space="preserve"> setValueToTime(B181)</f>
        <v>3h10min</v>
      </c>
      <c r="D181" s="121"/>
      <c r="E181" s="253"/>
      <c r="F181" s="254"/>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8</v>
      </c>
      <c r="C183" s="164"/>
      <c r="D183" s="157" t="s">
        <v>15</v>
      </c>
      <c r="E183" s="158" t="s">
        <v>85</v>
      </c>
      <c r="F183" s="159" t="s">
        <v>44</v>
      </c>
      <c r="G183" s="46"/>
    </row>
    <row r="184" spans="1:7" s="47" customFormat="1" ht="30" customHeight="1" thickBot="1" x14ac:dyDescent="0.3">
      <c r="A184" s="78" t="s">
        <v>5</v>
      </c>
      <c r="B184" s="161" t="s">
        <v>41</v>
      </c>
      <c r="C184" s="160">
        <v>38</v>
      </c>
      <c r="D184" s="78" t="s">
        <v>13</v>
      </c>
      <c r="E184" s="251" t="s">
        <v>14</v>
      </c>
      <c r="F184" s="252"/>
      <c r="G184" s="46"/>
    </row>
    <row r="185" spans="1:7" s="52" customFormat="1" ht="135" x14ac:dyDescent="0.3">
      <c r="A185" s="48" t="s">
        <v>16</v>
      </c>
      <c r="B185" s="49">
        <v>36</v>
      </c>
      <c r="C185" s="152" t="str">
        <f xml:space="preserve"> IF(B185="","",setValueToTime(B185))</f>
        <v>3h</v>
      </c>
      <c r="D185" s="172" t="s">
        <v>151</v>
      </c>
      <c r="E185" s="243"/>
      <c r="F185" s="244"/>
      <c r="G185" s="51"/>
    </row>
    <row r="186" spans="1:7" s="52" customFormat="1" ht="27" x14ac:dyDescent="0.3">
      <c r="A186" s="53" t="s">
        <v>17</v>
      </c>
      <c r="B186" s="54">
        <v>2</v>
      </c>
      <c r="C186" s="153" t="str">
        <f t="shared" ref="C186:C187" si="18" xml:space="preserve"> IF(B186="","",setValueToTime(B186))</f>
        <v>0h10min</v>
      </c>
      <c r="D186" s="174" t="s">
        <v>149</v>
      </c>
      <c r="E186" s="245"/>
      <c r="F186" s="246"/>
      <c r="G186" s="51"/>
    </row>
    <row r="187" spans="1:7" s="52" customFormat="1" ht="41.25" thickBot="1" x14ac:dyDescent="0.35">
      <c r="A187" s="53"/>
      <c r="B187" s="54"/>
      <c r="C187" s="153" t="str">
        <f t="shared" si="18"/>
        <v/>
      </c>
      <c r="D187" s="174" t="s">
        <v>150</v>
      </c>
      <c r="E187" s="245"/>
      <c r="F187" s="246"/>
      <c r="G187" s="51"/>
    </row>
    <row r="188" spans="1:7" s="52" customFormat="1" ht="15" thickBot="1" x14ac:dyDescent="0.35">
      <c r="A188" s="162" t="s">
        <v>29</v>
      </c>
      <c r="B188" s="83">
        <f>SUM(B185:B187)</f>
        <v>38</v>
      </c>
      <c r="C188" s="162" t="str">
        <f xml:space="preserve"> setValueToTime(B188)</f>
        <v>3h10min</v>
      </c>
      <c r="D188" s="121"/>
      <c r="E188" s="253"/>
      <c r="F188" s="254"/>
      <c r="G188" s="51"/>
    </row>
    <row r="189" spans="1:7" s="59" customFormat="1" ht="15" thickBot="1" x14ac:dyDescent="0.35">
      <c r="A189" s="77"/>
      <c r="B189" s="77"/>
      <c r="C189" s="77"/>
      <c r="D189" s="77"/>
      <c r="E189" s="77"/>
      <c r="F189" s="77"/>
      <c r="G189" s="58"/>
    </row>
    <row r="190" spans="1:7" s="47" customFormat="1" ht="30" customHeight="1" thickBot="1" x14ac:dyDescent="0.3">
      <c r="A190" s="156" t="s">
        <v>12</v>
      </c>
      <c r="B190" s="164">
        <v>7</v>
      </c>
      <c r="C190" s="164"/>
      <c r="D190" s="157" t="s">
        <v>15</v>
      </c>
      <c r="E190" s="158" t="s">
        <v>85</v>
      </c>
      <c r="F190" s="159" t="s">
        <v>45</v>
      </c>
      <c r="G190" s="46"/>
    </row>
    <row r="191" spans="1:7" s="47" customFormat="1" ht="30" customHeight="1" thickBot="1" x14ac:dyDescent="0.3">
      <c r="A191" s="78" t="s">
        <v>5</v>
      </c>
      <c r="B191" s="161" t="s">
        <v>41</v>
      </c>
      <c r="C191" s="160">
        <v>48</v>
      </c>
      <c r="D191" s="78" t="s">
        <v>13</v>
      </c>
      <c r="E191" s="251" t="s">
        <v>14</v>
      </c>
      <c r="F191" s="252"/>
      <c r="G191" s="46"/>
    </row>
    <row r="192" spans="1:7" s="52" customFormat="1" ht="27" x14ac:dyDescent="0.3">
      <c r="A192" s="48" t="s">
        <v>16</v>
      </c>
      <c r="B192" s="49">
        <v>42</v>
      </c>
      <c r="C192" s="152" t="str">
        <f xml:space="preserve"> IF(B192="","",setValueToTime(B192))</f>
        <v>3h30min</v>
      </c>
      <c r="D192" s="172" t="s">
        <v>147</v>
      </c>
      <c r="E192" s="243"/>
      <c r="F192" s="244"/>
      <c r="G192" s="51"/>
    </row>
    <row r="193" spans="1:7" s="52" customFormat="1" x14ac:dyDescent="0.3">
      <c r="A193" s="53" t="s">
        <v>88</v>
      </c>
      <c r="B193" s="54">
        <v>4</v>
      </c>
      <c r="C193" s="153" t="str">
        <f t="shared" ref="C193:C199" si="19" xml:space="preserve"> IF(B193="","",setValueToTime(B193))</f>
        <v>0h20min</v>
      </c>
      <c r="D193" s="174" t="s">
        <v>148</v>
      </c>
      <c r="E193" s="245"/>
      <c r="F193" s="246"/>
      <c r="G193" s="51"/>
    </row>
    <row r="194" spans="1:7" s="52" customFormat="1" ht="27" x14ac:dyDescent="0.3">
      <c r="A194" s="53" t="s">
        <v>17</v>
      </c>
      <c r="B194" s="54">
        <v>2</v>
      </c>
      <c r="C194" s="153" t="str">
        <f t="shared" si="19"/>
        <v>0h10min</v>
      </c>
      <c r="D194" s="174" t="s">
        <v>149</v>
      </c>
      <c r="E194" s="245"/>
      <c r="F194" s="246"/>
      <c r="G194" s="51"/>
    </row>
    <row r="195" spans="1:7" s="52" customFormat="1" x14ac:dyDescent="0.3">
      <c r="A195" s="53"/>
      <c r="B195" s="54"/>
      <c r="C195" s="153" t="str">
        <f t="shared" si="19"/>
        <v/>
      </c>
      <c r="D195" s="55"/>
      <c r="E195" s="245"/>
      <c r="F195" s="246"/>
      <c r="G195" s="51"/>
    </row>
    <row r="196" spans="1:7" s="52" customFormat="1" x14ac:dyDescent="0.3">
      <c r="A196" s="54"/>
      <c r="B196" s="54"/>
      <c r="C196" s="154" t="str">
        <f t="shared" si="19"/>
        <v/>
      </c>
      <c r="D196" s="55"/>
      <c r="E196" s="245"/>
      <c r="F196" s="246"/>
      <c r="G196" s="51"/>
    </row>
    <row r="197" spans="1:7" s="52" customFormat="1" x14ac:dyDescent="0.3">
      <c r="A197" s="54"/>
      <c r="B197" s="54"/>
      <c r="C197" s="154" t="str">
        <f t="shared" si="19"/>
        <v/>
      </c>
      <c r="D197" s="55"/>
      <c r="E197" s="245"/>
      <c r="F197" s="246"/>
      <c r="G197" s="51"/>
    </row>
    <row r="198" spans="1:7" s="52" customFormat="1" x14ac:dyDescent="0.3">
      <c r="A198" s="54"/>
      <c r="B198" s="54"/>
      <c r="C198" s="154" t="str">
        <f t="shared" si="19"/>
        <v/>
      </c>
      <c r="D198" s="55"/>
      <c r="E198" s="245"/>
      <c r="F198" s="246"/>
      <c r="G198" s="51"/>
    </row>
    <row r="199" spans="1:7" s="52" customFormat="1" ht="15" thickBot="1" x14ac:dyDescent="0.35">
      <c r="A199" s="56"/>
      <c r="B199" s="56"/>
      <c r="C199" s="155" t="str">
        <f t="shared" si="19"/>
        <v/>
      </c>
      <c r="D199" s="57"/>
      <c r="E199" s="249"/>
      <c r="F199" s="250"/>
      <c r="G199" s="51"/>
    </row>
    <row r="200" spans="1:7" s="52" customFormat="1" ht="15" thickBot="1" x14ac:dyDescent="0.35">
      <c r="A200" s="162" t="s">
        <v>29</v>
      </c>
      <c r="B200" s="83">
        <f>SUM(B192:B199)</f>
        <v>48</v>
      </c>
      <c r="C200" s="162" t="str">
        <f xml:space="preserve"> setValueToTime(B200)</f>
        <v>4h</v>
      </c>
      <c r="D200" s="121"/>
      <c r="E200" s="253"/>
      <c r="F200" s="254"/>
      <c r="G200" s="51"/>
    </row>
    <row r="201" spans="1:7" s="59" customFormat="1" ht="15" thickBot="1" x14ac:dyDescent="0.35">
      <c r="A201" s="77"/>
      <c r="B201" s="77"/>
      <c r="C201" s="77"/>
      <c r="D201" s="77"/>
      <c r="E201" s="77"/>
      <c r="F201" s="77"/>
      <c r="G201" s="58"/>
    </row>
    <row r="202" spans="1:7" s="47" customFormat="1" ht="30" customHeight="1" thickBot="1" x14ac:dyDescent="0.3">
      <c r="A202" s="156" t="s">
        <v>12</v>
      </c>
      <c r="B202" s="164">
        <v>6</v>
      </c>
      <c r="C202" s="164"/>
      <c r="D202" s="157" t="s">
        <v>15</v>
      </c>
      <c r="E202" s="158" t="s">
        <v>86</v>
      </c>
      <c r="F202" s="159" t="s">
        <v>45</v>
      </c>
      <c r="G202" s="46"/>
    </row>
    <row r="203" spans="1:7" s="47" customFormat="1" ht="30" customHeight="1" thickBot="1" x14ac:dyDescent="0.3">
      <c r="A203" s="78" t="s">
        <v>5</v>
      </c>
      <c r="B203" s="161" t="s">
        <v>41</v>
      </c>
      <c r="C203" s="160">
        <v>38</v>
      </c>
      <c r="D203" s="78" t="s">
        <v>13</v>
      </c>
      <c r="E203" s="251" t="s">
        <v>14</v>
      </c>
      <c r="F203" s="252"/>
      <c r="G203" s="46"/>
    </row>
    <row r="204" spans="1:7" s="52" customFormat="1" ht="189" x14ac:dyDescent="0.3">
      <c r="A204" s="48" t="s">
        <v>16</v>
      </c>
      <c r="B204" s="49">
        <v>36</v>
      </c>
      <c r="C204" s="152" t="str">
        <f xml:space="preserve"> IF(B204="","",setValueToTime(B204))</f>
        <v>3h</v>
      </c>
      <c r="D204" s="172" t="s">
        <v>145</v>
      </c>
      <c r="E204" s="257" t="s">
        <v>144</v>
      </c>
      <c r="F204" s="258"/>
      <c r="G204" s="51"/>
    </row>
    <row r="205" spans="1:7" s="52" customFormat="1" ht="27" x14ac:dyDescent="0.3">
      <c r="A205" s="53" t="s">
        <v>17</v>
      </c>
      <c r="B205" s="54">
        <v>2</v>
      </c>
      <c r="C205" s="153" t="str">
        <f t="shared" ref="C205:C206" si="20" xml:space="preserve"> IF(B205="","",setValueToTime(B205))</f>
        <v>0h10min</v>
      </c>
      <c r="D205" s="174" t="s">
        <v>128</v>
      </c>
      <c r="E205" s="245"/>
      <c r="F205" s="246"/>
      <c r="G205" s="51"/>
    </row>
    <row r="206" spans="1:7" s="52" customFormat="1" ht="54.75" thickBot="1" x14ac:dyDescent="0.35">
      <c r="A206" s="53"/>
      <c r="B206" s="54"/>
      <c r="C206" s="153" t="str">
        <f t="shared" si="20"/>
        <v/>
      </c>
      <c r="D206" s="174" t="s">
        <v>146</v>
      </c>
      <c r="E206" s="245"/>
      <c r="F206" s="246"/>
      <c r="G206" s="51"/>
    </row>
    <row r="207" spans="1:7" s="52" customFormat="1" ht="15" thickBot="1" x14ac:dyDescent="0.35">
      <c r="A207" s="162" t="s">
        <v>29</v>
      </c>
      <c r="B207" s="83">
        <f>SUM(B204:B206)</f>
        <v>38</v>
      </c>
      <c r="C207" s="162" t="str">
        <f xml:space="preserve"> setValueToTime(B207)</f>
        <v>3h10min</v>
      </c>
      <c r="D207" s="121"/>
      <c r="E207" s="253"/>
      <c r="F207" s="254"/>
      <c r="G207" s="51"/>
    </row>
    <row r="208" spans="1:7" s="59" customFormat="1" ht="15" thickBot="1" x14ac:dyDescent="0.35">
      <c r="A208" s="77"/>
      <c r="B208" s="77"/>
      <c r="C208" s="77"/>
      <c r="D208" s="77"/>
      <c r="E208" s="77"/>
      <c r="F208" s="77"/>
      <c r="G208" s="58"/>
    </row>
    <row r="209" spans="1:7" s="47" customFormat="1" ht="30" customHeight="1" thickBot="1" x14ac:dyDescent="0.3">
      <c r="A209" s="156" t="s">
        <v>12</v>
      </c>
      <c r="B209" s="164">
        <v>5</v>
      </c>
      <c r="C209" s="164"/>
      <c r="D209" s="157" t="s">
        <v>15</v>
      </c>
      <c r="E209" s="158" t="s">
        <v>73</v>
      </c>
      <c r="F209" s="159" t="s">
        <v>44</v>
      </c>
      <c r="G209" s="46"/>
    </row>
    <row r="210" spans="1:7" s="47" customFormat="1" ht="30" customHeight="1" thickBot="1" x14ac:dyDescent="0.3">
      <c r="A210" s="78" t="s">
        <v>5</v>
      </c>
      <c r="B210" s="161" t="s">
        <v>41</v>
      </c>
      <c r="C210" s="160">
        <v>38</v>
      </c>
      <c r="D210" s="78" t="s">
        <v>13</v>
      </c>
      <c r="E210" s="251" t="s">
        <v>14</v>
      </c>
      <c r="F210" s="252"/>
      <c r="G210" s="46"/>
    </row>
    <row r="211" spans="1:7" s="52" customFormat="1" ht="54" x14ac:dyDescent="0.3">
      <c r="A211" s="48" t="s">
        <v>16</v>
      </c>
      <c r="B211" s="49">
        <v>34</v>
      </c>
      <c r="C211" s="152" t="str">
        <f xml:space="preserve"> IF(B211="","",setValueToTime(B211))</f>
        <v>2h50min</v>
      </c>
      <c r="D211" s="172" t="s">
        <v>141</v>
      </c>
      <c r="E211" s="257" t="s">
        <v>142</v>
      </c>
      <c r="F211" s="258"/>
      <c r="G211" s="51"/>
    </row>
    <row r="212" spans="1:7" s="52" customFormat="1" ht="27" x14ac:dyDescent="0.3">
      <c r="A212" s="53" t="s">
        <v>17</v>
      </c>
      <c r="B212" s="54">
        <v>4</v>
      </c>
      <c r="C212" s="153" t="str">
        <f t="shared" ref="C212:C213" si="21" xml:space="preserve"> IF(B212="","",setValueToTime(B212))</f>
        <v>0h20min</v>
      </c>
      <c r="D212" s="174" t="s">
        <v>128</v>
      </c>
      <c r="E212" s="245"/>
      <c r="F212" s="246"/>
      <c r="G212" s="51"/>
    </row>
    <row r="213" spans="1:7" s="52" customFormat="1" ht="68.25" thickBot="1" x14ac:dyDescent="0.35">
      <c r="A213" s="53"/>
      <c r="B213" s="54"/>
      <c r="C213" s="153" t="str">
        <f t="shared" si="21"/>
        <v/>
      </c>
      <c r="D213" s="174" t="s">
        <v>143</v>
      </c>
      <c r="E213" s="245"/>
      <c r="F213" s="246"/>
      <c r="G213" s="51"/>
    </row>
    <row r="214" spans="1:7" s="52" customFormat="1" ht="15" thickBot="1" x14ac:dyDescent="0.35">
      <c r="A214" s="162" t="s">
        <v>29</v>
      </c>
      <c r="B214" s="83">
        <f>SUM(B211:B213)</f>
        <v>38</v>
      </c>
      <c r="C214" s="162" t="str">
        <f xml:space="preserve"> setValueToTime(B214)</f>
        <v>3h10min</v>
      </c>
      <c r="D214" s="121"/>
      <c r="E214" s="253"/>
      <c r="F214" s="254"/>
      <c r="G214" s="51"/>
    </row>
    <row r="215" spans="1:7" s="59" customFormat="1" ht="15" thickBot="1" x14ac:dyDescent="0.35">
      <c r="A215" s="77"/>
      <c r="B215" s="77"/>
      <c r="C215" s="77"/>
      <c r="D215" s="77"/>
      <c r="E215" s="77"/>
      <c r="F215" s="77"/>
      <c r="G215" s="58"/>
    </row>
    <row r="216" spans="1:7" s="47" customFormat="1" ht="30" customHeight="1" thickBot="1" x14ac:dyDescent="0.3">
      <c r="A216" s="156" t="s">
        <v>12</v>
      </c>
      <c r="B216" s="164">
        <v>4</v>
      </c>
      <c r="C216" s="164"/>
      <c r="D216" s="157" t="s">
        <v>15</v>
      </c>
      <c r="E216" s="158" t="s">
        <v>73</v>
      </c>
      <c r="F216" s="159" t="s">
        <v>45</v>
      </c>
      <c r="G216" s="46"/>
    </row>
    <row r="217" spans="1:7" s="47" customFormat="1" ht="30" customHeight="1" thickBot="1" x14ac:dyDescent="0.3">
      <c r="A217" s="78" t="s">
        <v>5</v>
      </c>
      <c r="B217" s="161" t="s">
        <v>41</v>
      </c>
      <c r="C217" s="160">
        <v>38</v>
      </c>
      <c r="D217" s="78" t="s">
        <v>13</v>
      </c>
      <c r="E217" s="251" t="s">
        <v>14</v>
      </c>
      <c r="F217" s="252"/>
      <c r="G217" s="46"/>
    </row>
    <row r="218" spans="1:7" s="52" customFormat="1" ht="54" x14ac:dyDescent="0.3">
      <c r="A218" s="48" t="s">
        <v>16</v>
      </c>
      <c r="B218" s="49">
        <v>16</v>
      </c>
      <c r="C218" s="152" t="str">
        <f xml:space="preserve"> IF(B218="","",setValueToTime(B218))</f>
        <v>1h20min</v>
      </c>
      <c r="D218" s="172" t="s">
        <v>139</v>
      </c>
      <c r="E218" s="257" t="s">
        <v>133</v>
      </c>
      <c r="F218" s="258"/>
      <c r="G218" s="51"/>
    </row>
    <row r="219" spans="1:7" s="52" customFormat="1" ht="67.5" x14ac:dyDescent="0.3">
      <c r="A219" s="53" t="s">
        <v>132</v>
      </c>
      <c r="B219" s="54">
        <v>19</v>
      </c>
      <c r="C219" s="153" t="str">
        <f t="shared" ref="C219:C224" si="22" xml:space="preserve"> IF(B219="","",setValueToTime(B219))</f>
        <v>1h35min</v>
      </c>
      <c r="D219" s="174" t="s">
        <v>140</v>
      </c>
      <c r="E219" s="255" t="s">
        <v>134</v>
      </c>
      <c r="F219" s="256"/>
      <c r="G219" s="51"/>
    </row>
    <row r="220" spans="1:7" s="52" customFormat="1" x14ac:dyDescent="0.3">
      <c r="A220" s="53"/>
      <c r="B220" s="54"/>
      <c r="C220" s="153" t="str">
        <f t="shared" si="22"/>
        <v/>
      </c>
      <c r="D220" s="55"/>
      <c r="E220" s="259" t="s">
        <v>135</v>
      </c>
      <c r="F220" s="260"/>
      <c r="G220" s="51"/>
    </row>
    <row r="221" spans="1:7" s="52" customFormat="1" x14ac:dyDescent="0.3">
      <c r="A221" s="53"/>
      <c r="B221" s="54"/>
      <c r="C221" s="153" t="str">
        <f t="shared" si="22"/>
        <v/>
      </c>
      <c r="D221" s="55"/>
      <c r="E221" s="259" t="s">
        <v>136</v>
      </c>
      <c r="F221" s="260"/>
      <c r="G221" s="51"/>
    </row>
    <row r="222" spans="1:7" s="52" customFormat="1" x14ac:dyDescent="0.3">
      <c r="A222" s="54"/>
      <c r="B222" s="54"/>
      <c r="C222" s="154" t="str">
        <f t="shared" si="22"/>
        <v/>
      </c>
      <c r="D222" s="55"/>
      <c r="E222" s="259" t="s">
        <v>137</v>
      </c>
      <c r="F222" s="260"/>
      <c r="G222" s="51"/>
    </row>
    <row r="223" spans="1:7" s="52" customFormat="1" x14ac:dyDescent="0.3">
      <c r="A223" s="54"/>
      <c r="B223" s="54"/>
      <c r="C223" s="154" t="str">
        <f t="shared" si="22"/>
        <v/>
      </c>
      <c r="D223" s="55"/>
      <c r="E223" s="259" t="s">
        <v>138</v>
      </c>
      <c r="F223" s="260"/>
      <c r="G223" s="51"/>
    </row>
    <row r="224" spans="1:7" s="52" customFormat="1" ht="27.75" thickBot="1" x14ac:dyDescent="0.35">
      <c r="A224" s="53" t="s">
        <v>17</v>
      </c>
      <c r="B224" s="54">
        <v>3</v>
      </c>
      <c r="C224" s="155" t="str">
        <f t="shared" si="22"/>
        <v>0h15min</v>
      </c>
      <c r="D224" s="174" t="s">
        <v>128</v>
      </c>
      <c r="E224" s="249"/>
      <c r="F224" s="250"/>
      <c r="G224" s="51"/>
    </row>
    <row r="225" spans="1:7" s="52" customFormat="1" ht="15" thickBot="1" x14ac:dyDescent="0.35">
      <c r="A225" s="162" t="s">
        <v>29</v>
      </c>
      <c r="B225" s="83">
        <f>SUM(B218:B224)</f>
        <v>38</v>
      </c>
      <c r="C225" s="162" t="str">
        <f xml:space="preserve"> setValueToTime(B225)</f>
        <v>3h10min</v>
      </c>
      <c r="D225" s="121"/>
      <c r="E225" s="253"/>
      <c r="F225" s="254"/>
      <c r="G225" s="51"/>
    </row>
    <row r="226" spans="1:7" s="59" customFormat="1" ht="15" thickBot="1" x14ac:dyDescent="0.35">
      <c r="A226" s="77"/>
      <c r="B226" s="77"/>
      <c r="C226" s="77"/>
      <c r="D226" s="77"/>
      <c r="E226" s="77"/>
      <c r="F226" s="77"/>
      <c r="G226" s="58"/>
    </row>
    <row r="227" spans="1:7" s="47" customFormat="1" ht="30" customHeight="1" thickBot="1" x14ac:dyDescent="0.3">
      <c r="A227" s="156" t="s">
        <v>12</v>
      </c>
      <c r="B227" s="164">
        <v>3</v>
      </c>
      <c r="C227" s="164"/>
      <c r="D227" s="157" t="s">
        <v>15</v>
      </c>
      <c r="E227" s="158" t="s">
        <v>74</v>
      </c>
      <c r="F227" s="159" t="s">
        <v>44</v>
      </c>
      <c r="G227" s="46"/>
    </row>
    <row r="228" spans="1:7" s="47" customFormat="1" ht="30" customHeight="1" thickBot="1" x14ac:dyDescent="0.3">
      <c r="A228" s="78" t="s">
        <v>5</v>
      </c>
      <c r="B228" s="161" t="s">
        <v>41</v>
      </c>
      <c r="C228" s="160">
        <v>38</v>
      </c>
      <c r="D228" s="78" t="s">
        <v>13</v>
      </c>
      <c r="E228" s="251" t="s">
        <v>14</v>
      </c>
      <c r="F228" s="252"/>
      <c r="G228" s="46"/>
    </row>
    <row r="229" spans="1:7" s="52" customFormat="1" ht="162" x14ac:dyDescent="0.3">
      <c r="A229" s="48" t="s">
        <v>95</v>
      </c>
      <c r="B229" s="49">
        <v>35</v>
      </c>
      <c r="C229" s="152" t="str">
        <f xml:space="preserve"> IF(B229="","",setValueToTime(B229))</f>
        <v>2h55min</v>
      </c>
      <c r="D229" s="172" t="s">
        <v>131</v>
      </c>
      <c r="E229" s="257" t="s">
        <v>126</v>
      </c>
      <c r="F229" s="258"/>
      <c r="G229" s="51"/>
    </row>
    <row r="230" spans="1:7" s="52" customFormat="1" x14ac:dyDescent="0.3">
      <c r="A230" s="53"/>
      <c r="B230" s="54"/>
      <c r="C230" s="153" t="str">
        <f t="shared" ref="C230:C232" si="23" xml:space="preserve"> IF(B230="","",setValueToTime(B230))</f>
        <v/>
      </c>
      <c r="D230" s="55"/>
      <c r="E230" s="255" t="s">
        <v>127</v>
      </c>
      <c r="F230" s="256"/>
      <c r="G230" s="51"/>
    </row>
    <row r="231" spans="1:7" s="52" customFormat="1" ht="27" x14ac:dyDescent="0.3">
      <c r="A231" s="54" t="s">
        <v>17</v>
      </c>
      <c r="B231" s="54">
        <v>3</v>
      </c>
      <c r="C231" s="153" t="str">
        <f xml:space="preserve"> IF(B231="","",setValueToTime(B231))</f>
        <v>0h15min</v>
      </c>
      <c r="D231" s="174" t="s">
        <v>128</v>
      </c>
      <c r="E231" s="255" t="s">
        <v>129</v>
      </c>
      <c r="F231" s="256"/>
      <c r="G231" s="51"/>
    </row>
    <row r="232" spans="1:7" s="52" customFormat="1" ht="27.75" thickBot="1" x14ac:dyDescent="0.35">
      <c r="A232" s="53"/>
      <c r="B232" s="54"/>
      <c r="C232" s="153" t="str">
        <f t="shared" si="23"/>
        <v/>
      </c>
      <c r="D232" s="174" t="s">
        <v>130</v>
      </c>
      <c r="E232" s="255"/>
      <c r="F232" s="256"/>
      <c r="G232" s="51"/>
    </row>
    <row r="233" spans="1:7" s="52" customFormat="1" ht="15" thickBot="1" x14ac:dyDescent="0.35">
      <c r="A233" s="162" t="s">
        <v>29</v>
      </c>
      <c r="B233" s="83">
        <f>SUM(B229:B232)</f>
        <v>38</v>
      </c>
      <c r="C233" s="162" t="str">
        <f xml:space="preserve"> setValueToTime(B233)</f>
        <v>3h10min</v>
      </c>
      <c r="D233" s="121"/>
      <c r="E233" s="253"/>
      <c r="F233" s="254"/>
      <c r="G233" s="51"/>
    </row>
    <row r="234" spans="1:7" s="59" customFormat="1" ht="15" thickBot="1" x14ac:dyDescent="0.35">
      <c r="A234" s="77"/>
      <c r="B234" s="77"/>
      <c r="C234" s="77"/>
      <c r="D234" s="77"/>
      <c r="E234" s="77"/>
      <c r="F234" s="77"/>
      <c r="G234" s="58"/>
    </row>
    <row r="235" spans="1:7" s="47" customFormat="1" ht="30" customHeight="1" thickBot="1" x14ac:dyDescent="0.3">
      <c r="A235" s="156" t="s">
        <v>12</v>
      </c>
      <c r="B235" s="164">
        <v>2</v>
      </c>
      <c r="C235" s="164"/>
      <c r="D235" s="157" t="s">
        <v>15</v>
      </c>
      <c r="E235" s="158" t="s">
        <v>74</v>
      </c>
      <c r="F235" s="159" t="s">
        <v>45</v>
      </c>
      <c r="G235" s="46"/>
    </row>
    <row r="236" spans="1:7" s="47" customFormat="1" ht="30" customHeight="1" thickBot="1" x14ac:dyDescent="0.3">
      <c r="A236" s="78" t="s">
        <v>5</v>
      </c>
      <c r="B236" s="161" t="s">
        <v>41</v>
      </c>
      <c r="C236" s="160">
        <v>48</v>
      </c>
      <c r="D236" s="78" t="s">
        <v>13</v>
      </c>
      <c r="E236" s="251" t="s">
        <v>14</v>
      </c>
      <c r="F236" s="252"/>
      <c r="G236" s="46"/>
    </row>
    <row r="237" spans="1:7" s="52" customFormat="1" ht="27" x14ac:dyDescent="0.3">
      <c r="A237" s="48" t="s">
        <v>32</v>
      </c>
      <c r="B237" s="49">
        <v>5</v>
      </c>
      <c r="C237" s="152" t="str">
        <f xml:space="preserve"> IF(B237="","",setValueToTime(B237))</f>
        <v>0h25min</v>
      </c>
      <c r="D237" s="172" t="s">
        <v>113</v>
      </c>
      <c r="E237" s="243"/>
      <c r="F237" s="244"/>
      <c r="G237" s="51"/>
    </row>
    <row r="238" spans="1:7" s="52" customFormat="1" ht="40.5" x14ac:dyDescent="0.3">
      <c r="A238" s="53" t="s">
        <v>88</v>
      </c>
      <c r="B238" s="54">
        <v>7</v>
      </c>
      <c r="C238" s="153" t="str">
        <f t="shared" ref="C238:C244" si="24" xml:space="preserve"> IF(B238="","",setValueToTime(B238))</f>
        <v>0h35min</v>
      </c>
      <c r="D238" s="174" t="s">
        <v>115</v>
      </c>
      <c r="E238" s="255" t="s">
        <v>116</v>
      </c>
      <c r="F238" s="256"/>
      <c r="G238" s="51"/>
    </row>
    <row r="239" spans="1:7" s="52" customFormat="1" ht="135" x14ac:dyDescent="0.3">
      <c r="A239" s="53" t="s">
        <v>91</v>
      </c>
      <c r="B239" s="54">
        <v>7</v>
      </c>
      <c r="C239" s="153" t="str">
        <f t="shared" si="24"/>
        <v>0h35min</v>
      </c>
      <c r="D239" s="174" t="s">
        <v>124</v>
      </c>
      <c r="E239" s="255" t="s">
        <v>114</v>
      </c>
      <c r="F239" s="256"/>
      <c r="G239" s="51"/>
    </row>
    <row r="240" spans="1:7" s="52" customFormat="1" ht="27" x14ac:dyDescent="0.3">
      <c r="A240" s="53" t="s">
        <v>17</v>
      </c>
      <c r="B240" s="54">
        <v>3</v>
      </c>
      <c r="C240" s="153" t="str">
        <f t="shared" si="24"/>
        <v>0h15min</v>
      </c>
      <c r="D240" s="174" t="s">
        <v>117</v>
      </c>
      <c r="E240" s="245"/>
      <c r="F240" s="246"/>
      <c r="G240" s="51"/>
    </row>
    <row r="241" spans="1:7" s="52" customFormat="1" ht="40.5" x14ac:dyDescent="0.3">
      <c r="A241" s="54" t="s">
        <v>95</v>
      </c>
      <c r="B241" s="54"/>
      <c r="C241" s="154" t="str">
        <f t="shared" si="24"/>
        <v/>
      </c>
      <c r="D241" s="174" t="s">
        <v>118</v>
      </c>
      <c r="E241" s="245"/>
      <c r="F241" s="246"/>
      <c r="G241" s="51"/>
    </row>
    <row r="242" spans="1:7" s="52" customFormat="1" ht="40.5" x14ac:dyDescent="0.3">
      <c r="A242" s="54" t="s">
        <v>88</v>
      </c>
      <c r="B242" s="54">
        <v>2</v>
      </c>
      <c r="C242" s="154" t="str">
        <f t="shared" si="24"/>
        <v>0h10min</v>
      </c>
      <c r="D242" s="174" t="s">
        <v>119</v>
      </c>
      <c r="E242" s="245"/>
      <c r="F242" s="246"/>
      <c r="G242" s="51"/>
    </row>
    <row r="243" spans="1:7" s="52" customFormat="1" ht="94.5" x14ac:dyDescent="0.3">
      <c r="A243" s="54" t="s">
        <v>95</v>
      </c>
      <c r="B243" s="54">
        <v>21</v>
      </c>
      <c r="C243" s="154" t="str">
        <f t="shared" si="24"/>
        <v>1h45min</v>
      </c>
      <c r="D243" s="174" t="s">
        <v>125</v>
      </c>
      <c r="E243" s="245"/>
      <c r="F243" s="246"/>
      <c r="G243" s="51"/>
    </row>
    <row r="244" spans="1:7" s="52" customFormat="1" ht="27.75" thickBot="1" x14ac:dyDescent="0.35">
      <c r="A244" s="56" t="s">
        <v>17</v>
      </c>
      <c r="B244" s="56">
        <v>3</v>
      </c>
      <c r="C244" s="155" t="str">
        <f t="shared" si="24"/>
        <v>0h15min</v>
      </c>
      <c r="D244" s="189" t="s">
        <v>122</v>
      </c>
      <c r="E244" s="249"/>
      <c r="F244" s="250"/>
      <c r="G244" s="51"/>
    </row>
    <row r="245" spans="1:7" s="52" customFormat="1" ht="15" thickBot="1" x14ac:dyDescent="0.35">
      <c r="A245" s="162" t="s">
        <v>29</v>
      </c>
      <c r="B245" s="83">
        <f>SUM(B237:B244)</f>
        <v>48</v>
      </c>
      <c r="C245" s="162" t="str">
        <f xml:space="preserve"> setValueToTime(B245)</f>
        <v>4h</v>
      </c>
      <c r="D245" s="121"/>
      <c r="E245" s="253"/>
      <c r="F245" s="254"/>
      <c r="G245" s="51"/>
    </row>
    <row r="246" spans="1:7" s="59" customFormat="1" ht="15" thickBot="1" x14ac:dyDescent="0.35">
      <c r="A246" s="77"/>
      <c r="B246" s="77"/>
      <c r="C246" s="77"/>
      <c r="D246" s="77"/>
      <c r="E246" s="77"/>
      <c r="F246" s="77"/>
      <c r="G246" s="58"/>
    </row>
    <row r="247" spans="1:7" s="47" customFormat="1" ht="30" customHeight="1" thickBot="1" x14ac:dyDescent="0.3">
      <c r="A247" s="156" t="s">
        <v>12</v>
      </c>
      <c r="B247" s="164">
        <v>1</v>
      </c>
      <c r="C247" s="164"/>
      <c r="D247" s="157" t="s">
        <v>15</v>
      </c>
      <c r="E247" s="158" t="s">
        <v>42</v>
      </c>
      <c r="F247" s="159" t="s">
        <v>44</v>
      </c>
      <c r="G247" s="46"/>
    </row>
    <row r="248" spans="1:7" s="47" customFormat="1" ht="30" customHeight="1" thickBot="1" x14ac:dyDescent="0.3">
      <c r="A248" s="78" t="s">
        <v>5</v>
      </c>
      <c r="B248" s="161" t="s">
        <v>41</v>
      </c>
      <c r="C248" s="160">
        <v>38</v>
      </c>
      <c r="D248" s="78" t="s">
        <v>13</v>
      </c>
      <c r="E248" s="251" t="s">
        <v>14</v>
      </c>
      <c r="F248" s="252"/>
      <c r="G248" s="46"/>
    </row>
    <row r="249" spans="1:7" s="52" customFormat="1" ht="27" x14ac:dyDescent="0.3">
      <c r="A249" s="48" t="s">
        <v>89</v>
      </c>
      <c r="B249" s="49">
        <v>10</v>
      </c>
      <c r="C249" s="152" t="str">
        <f xml:space="preserve"> IF(B249="","",setValueToTime(B249))</f>
        <v>0h50min</v>
      </c>
      <c r="D249" s="172" t="s">
        <v>108</v>
      </c>
      <c r="E249" s="243"/>
      <c r="F249" s="244"/>
      <c r="G249" s="51"/>
    </row>
    <row r="250" spans="1:7" s="52" customFormat="1" ht="27" x14ac:dyDescent="0.3">
      <c r="A250" s="182" t="s">
        <v>91</v>
      </c>
      <c r="B250" s="183">
        <v>12</v>
      </c>
      <c r="C250" s="153" t="str">
        <f t="shared" ref="C250:C254" si="25" xml:space="preserve"> IF(B250="","",setValueToTime(B250))</f>
        <v>1h</v>
      </c>
      <c r="D250" s="184" t="s">
        <v>112</v>
      </c>
      <c r="E250" s="185"/>
      <c r="F250" s="186"/>
      <c r="G250" s="51"/>
    </row>
    <row r="251" spans="1:7" s="52" customFormat="1" ht="27" x14ac:dyDescent="0.3">
      <c r="A251" s="53" t="s">
        <v>90</v>
      </c>
      <c r="B251" s="54">
        <v>6</v>
      </c>
      <c r="C251" s="153" t="str">
        <f t="shared" si="25"/>
        <v>0h30min</v>
      </c>
      <c r="D251" s="174" t="s">
        <v>109</v>
      </c>
      <c r="E251" s="245"/>
      <c r="F251" s="246"/>
      <c r="G251" s="51"/>
    </row>
    <row r="252" spans="1:7" s="52" customFormat="1" ht="40.5" x14ac:dyDescent="0.3">
      <c r="A252" s="53" t="s">
        <v>32</v>
      </c>
      <c r="B252" s="54">
        <v>9</v>
      </c>
      <c r="C252" s="153" t="str">
        <f t="shared" si="25"/>
        <v>0h45min</v>
      </c>
      <c r="D252" s="174" t="s">
        <v>110</v>
      </c>
      <c r="E252" s="187"/>
      <c r="F252" s="188"/>
      <c r="G252" s="51"/>
    </row>
    <row r="253" spans="1:7" s="52" customFormat="1" ht="27" x14ac:dyDescent="0.3">
      <c r="A253" s="53" t="s">
        <v>17</v>
      </c>
      <c r="B253" s="54">
        <v>1</v>
      </c>
      <c r="C253" s="153" t="str">
        <f t="shared" si="25"/>
        <v>0h5min</v>
      </c>
      <c r="D253" s="174" t="s">
        <v>121</v>
      </c>
      <c r="E253" s="187"/>
      <c r="F253" s="188"/>
      <c r="G253" s="51"/>
    </row>
    <row r="254" spans="1:7" s="52" customFormat="1" ht="27.75" thickBot="1" x14ac:dyDescent="0.35">
      <c r="A254" s="53"/>
      <c r="B254" s="54"/>
      <c r="C254" s="153" t="str">
        <f t="shared" si="25"/>
        <v/>
      </c>
      <c r="D254" s="174" t="s">
        <v>120</v>
      </c>
      <c r="E254" s="245"/>
      <c r="F254" s="246"/>
      <c r="G254" s="51"/>
    </row>
    <row r="255" spans="1:7" s="52" customFormat="1" ht="15" thickBot="1" x14ac:dyDescent="0.35">
      <c r="A255" s="162" t="s">
        <v>29</v>
      </c>
      <c r="B255" s="83">
        <f>SUM(B249:B254)</f>
        <v>38</v>
      </c>
      <c r="C255" s="162" t="str">
        <f xml:space="preserve"> setValueToTime(B255)</f>
        <v>3h10min</v>
      </c>
      <c r="D255" s="121"/>
      <c r="E255" s="253"/>
      <c r="F255" s="254"/>
      <c r="G255" s="51"/>
    </row>
    <row r="256" spans="1:7" s="59" customFormat="1" x14ac:dyDescent="0.3">
      <c r="A256" s="77"/>
      <c r="B256" s="77"/>
      <c r="C256" s="77"/>
      <c r="D256" s="77"/>
      <c r="E256" s="77"/>
      <c r="F256" s="77"/>
      <c r="G256" s="58"/>
    </row>
  </sheetData>
  <sheetProtection formatRows="0" insertRows="0" insertHyperlinks="0" deleteRows="0" selectLockedCells="1"/>
  <mergeCells count="198">
    <mergeCell ref="E232:F232"/>
    <mergeCell ref="E236:F236"/>
    <mergeCell ref="E237:F237"/>
    <mergeCell ref="E238:F238"/>
    <mergeCell ref="E255:F255"/>
    <mergeCell ref="E248:F248"/>
    <mergeCell ref="E249:F249"/>
    <mergeCell ref="E251:F251"/>
    <mergeCell ref="E254:F254"/>
    <mergeCell ref="E242:F242"/>
    <mergeCell ref="E243:F243"/>
    <mergeCell ref="E244:F244"/>
    <mergeCell ref="E245:F245"/>
    <mergeCell ref="E239:F239"/>
    <mergeCell ref="E240:F240"/>
    <mergeCell ref="E241:F241"/>
    <mergeCell ref="E233:F233"/>
    <mergeCell ref="E213:F213"/>
    <mergeCell ref="E214:F214"/>
    <mergeCell ref="E217:F217"/>
    <mergeCell ref="E218:F218"/>
    <mergeCell ref="E219:F219"/>
    <mergeCell ref="E220:F220"/>
    <mergeCell ref="E221:F221"/>
    <mergeCell ref="E222:F222"/>
    <mergeCell ref="E231:F231"/>
    <mergeCell ref="E228:F228"/>
    <mergeCell ref="E229:F229"/>
    <mergeCell ref="E230:F230"/>
    <mergeCell ref="E223:F223"/>
    <mergeCell ref="E224:F224"/>
    <mergeCell ref="E225:F225"/>
    <mergeCell ref="E196:F196"/>
    <mergeCell ref="E197:F197"/>
    <mergeCell ref="E198:F198"/>
    <mergeCell ref="E199:F199"/>
    <mergeCell ref="E200:F200"/>
    <mergeCell ref="E203:F203"/>
    <mergeCell ref="E204:F204"/>
    <mergeCell ref="E205:F205"/>
    <mergeCell ref="E206:F206"/>
    <mergeCell ref="E210:F210"/>
    <mergeCell ref="E211:F211"/>
    <mergeCell ref="E212:F212"/>
    <mergeCell ref="E188:F188"/>
    <mergeCell ref="E172:F172"/>
    <mergeCell ref="E173:F173"/>
    <mergeCell ref="E174:F174"/>
    <mergeCell ref="E175:F175"/>
    <mergeCell ref="E176:F176"/>
    <mergeCell ref="E177:F177"/>
    <mergeCell ref="E178:F178"/>
    <mergeCell ref="E179:F179"/>
    <mergeCell ref="E180:F180"/>
    <mergeCell ref="E181:F181"/>
    <mergeCell ref="E184:F184"/>
    <mergeCell ref="E185:F185"/>
    <mergeCell ref="E186:F186"/>
    <mergeCell ref="E187:F187"/>
    <mergeCell ref="E207:F207"/>
    <mergeCell ref="E191:F191"/>
    <mergeCell ref="E192:F192"/>
    <mergeCell ref="E193:F193"/>
    <mergeCell ref="E194:F194"/>
    <mergeCell ref="E195:F195"/>
    <mergeCell ref="E169:F169"/>
    <mergeCell ref="E154:F154"/>
    <mergeCell ref="E155:F155"/>
    <mergeCell ref="E156:F156"/>
    <mergeCell ref="E157:F157"/>
    <mergeCell ref="E158:F158"/>
    <mergeCell ref="E159:F159"/>
    <mergeCell ref="E160:F160"/>
    <mergeCell ref="E163:F163"/>
    <mergeCell ref="E164:F164"/>
    <mergeCell ref="E165:F165"/>
    <mergeCell ref="E166:F166"/>
    <mergeCell ref="E167:F167"/>
    <mergeCell ref="E168:F168"/>
    <mergeCell ref="E151:F151"/>
    <mergeCell ref="E134:F134"/>
    <mergeCell ref="E135:F135"/>
    <mergeCell ref="E136:F136"/>
    <mergeCell ref="E137:F137"/>
    <mergeCell ref="E138:F138"/>
    <mergeCell ref="E139:F139"/>
    <mergeCell ref="E142:F142"/>
    <mergeCell ref="E143:F143"/>
    <mergeCell ref="E144:F144"/>
    <mergeCell ref="E145:F145"/>
    <mergeCell ref="E146:F146"/>
    <mergeCell ref="E147:F147"/>
    <mergeCell ref="E148:F148"/>
    <mergeCell ref="E149:F149"/>
    <mergeCell ref="E150:F150"/>
    <mergeCell ref="E131:F131"/>
    <mergeCell ref="E119:F119"/>
    <mergeCell ref="E120:F120"/>
    <mergeCell ref="E121:F121"/>
    <mergeCell ref="E122:F122"/>
    <mergeCell ref="E123:F123"/>
    <mergeCell ref="E124:F124"/>
    <mergeCell ref="E127:F127"/>
    <mergeCell ref="E128:F128"/>
    <mergeCell ref="E129:F129"/>
    <mergeCell ref="E130:F130"/>
    <mergeCell ref="E116:F116"/>
    <mergeCell ref="E99:F99"/>
    <mergeCell ref="E100:F100"/>
    <mergeCell ref="E101:F101"/>
    <mergeCell ref="E102:F102"/>
    <mergeCell ref="E103:F103"/>
    <mergeCell ref="E104:F104"/>
    <mergeCell ref="E107:F107"/>
    <mergeCell ref="E108:F108"/>
    <mergeCell ref="E109:F109"/>
    <mergeCell ref="E110:F110"/>
    <mergeCell ref="E111:F111"/>
    <mergeCell ref="E112:F112"/>
    <mergeCell ref="E113:F113"/>
    <mergeCell ref="E114:F114"/>
    <mergeCell ref="E115:F115"/>
    <mergeCell ref="E96:F96"/>
    <mergeCell ref="E84:F84"/>
    <mergeCell ref="E85:F85"/>
    <mergeCell ref="E86:F86"/>
    <mergeCell ref="E87:F87"/>
    <mergeCell ref="E88:F88"/>
    <mergeCell ref="E91:F91"/>
    <mergeCell ref="E92:F92"/>
    <mergeCell ref="E93:F93"/>
    <mergeCell ref="E94:F94"/>
    <mergeCell ref="E95:F95"/>
    <mergeCell ref="E58:F58"/>
    <mergeCell ref="E59:F59"/>
    <mergeCell ref="E81:F81"/>
    <mergeCell ref="E63:F63"/>
    <mergeCell ref="E64:F64"/>
    <mergeCell ref="E65:F65"/>
    <mergeCell ref="E66:F66"/>
    <mergeCell ref="E67:F67"/>
    <mergeCell ref="E68:F68"/>
    <mergeCell ref="E69:F69"/>
    <mergeCell ref="E70:F70"/>
    <mergeCell ref="E71:F71"/>
    <mergeCell ref="E72:F72"/>
    <mergeCell ref="E75:F75"/>
    <mergeCell ref="E76:F76"/>
    <mergeCell ref="E77:F77"/>
    <mergeCell ref="E80:F80"/>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55">
    <cfRule type="cellIs" dxfId="27" priority="26" operator="greaterThan">
      <formula>60</formula>
    </cfRule>
  </conditionalFormatting>
  <conditionalFormatting sqref="B245">
    <cfRule type="cellIs" dxfId="26" priority="25" operator="greaterThan">
      <formula>60</formula>
    </cfRule>
  </conditionalFormatting>
  <conditionalFormatting sqref="B233">
    <cfRule type="cellIs" dxfId="25" priority="24" operator="greaterThan">
      <formula>60</formula>
    </cfRule>
  </conditionalFormatting>
  <conditionalFormatting sqref="B225">
    <cfRule type="cellIs" dxfId="24" priority="23" operator="greaterThan">
      <formula>60</formula>
    </cfRule>
  </conditionalFormatting>
  <conditionalFormatting sqref="B214">
    <cfRule type="cellIs" dxfId="23" priority="22" operator="greaterThan">
      <formula>60</formula>
    </cfRule>
  </conditionalFormatting>
  <conditionalFormatting sqref="B207">
    <cfRule type="cellIs" dxfId="22" priority="21" operator="greaterThan">
      <formula>60</formula>
    </cfRule>
  </conditionalFormatting>
  <conditionalFormatting sqref="B200">
    <cfRule type="cellIs" dxfId="21" priority="20" operator="greaterThan">
      <formula>60</formula>
    </cfRule>
  </conditionalFormatting>
  <conditionalFormatting sqref="B188">
    <cfRule type="cellIs" dxfId="20" priority="19" operator="greaterThan">
      <formula>60</formula>
    </cfRule>
  </conditionalFormatting>
  <conditionalFormatting sqref="B181">
    <cfRule type="cellIs" dxfId="19" priority="18" operator="greaterThan">
      <formula>60</formula>
    </cfRule>
  </conditionalFormatting>
  <conditionalFormatting sqref="B169">
    <cfRule type="cellIs" dxfId="18" priority="17" operator="greaterThan">
      <formula>60</formula>
    </cfRule>
  </conditionalFormatting>
  <conditionalFormatting sqref="B160">
    <cfRule type="cellIs" dxfId="17" priority="16" operator="greaterThan">
      <formula>60</formula>
    </cfRule>
  </conditionalFormatting>
  <conditionalFormatting sqref="B151">
    <cfRule type="cellIs" dxfId="16" priority="15" operator="greaterThan">
      <formula>60</formula>
    </cfRule>
  </conditionalFormatting>
  <conditionalFormatting sqref="B139">
    <cfRule type="cellIs" dxfId="15" priority="14" operator="greaterThan">
      <formula>60</formula>
    </cfRule>
  </conditionalFormatting>
  <conditionalFormatting sqref="B131">
    <cfRule type="cellIs" dxfId="14" priority="13" operator="greaterThan">
      <formula>60</formula>
    </cfRule>
  </conditionalFormatting>
  <conditionalFormatting sqref="B124">
    <cfRule type="cellIs" dxfId="13" priority="12" operator="greaterThan">
      <formula>60</formula>
    </cfRule>
  </conditionalFormatting>
  <conditionalFormatting sqref="B116">
    <cfRule type="cellIs" dxfId="12" priority="11" operator="greaterThan">
      <formula>60</formula>
    </cfRule>
  </conditionalFormatting>
  <conditionalFormatting sqref="B104">
    <cfRule type="cellIs" dxfId="11" priority="10" operator="greaterThan">
      <formula>60</formula>
    </cfRule>
  </conditionalFormatting>
  <conditionalFormatting sqref="B96">
    <cfRule type="cellIs" dxfId="10" priority="9" operator="greaterThan">
      <formula>60</formula>
    </cfRule>
  </conditionalFormatting>
  <conditionalFormatting sqref="B88">
    <cfRule type="cellIs" dxfId="9" priority="8" operator="greaterThan">
      <formula>60</formula>
    </cfRule>
  </conditionalFormatting>
  <conditionalFormatting sqref="B81">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9:B254 B237:B244 B4:B11 B229:B232 B218:B224 B204:B206 B192:B199 B185:B187 B164:B168 B155:B159 B143:B150 B173:B180 B135:B138 B128:B130 B108:B115 B120:B123 B100:B103 B92:B95 B85:B87 B64:B71 B52:B59 B40:B47 B28:B35 B16:B23 B211:B213 B76:B8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5 B245 B233 B225 B214 B207 B200 B188 B181 B169 B160 B151 B139 B131 B124 B116 B104 B96 B88 B81 B72 B60 B48 B36 B24 B12">
      <formula1>0</formula1>
      <formula2>60</formula2>
    </dataValidation>
    <dataValidation type="list" allowBlank="1" showInputMessage="1" showErrorMessage="1" sqref="A249:A254 A237:A244 A4:A11 A229:A232 A218:A224 A204:A206 A192:A199 A185:A187 A164:A168 D168 D158 D145 D137 D130 D122 A108:A115 A100:A103 A92:A95 A85:A87 A64:A71 A52:A59 A40:A47 A28:A35 A16:A23 A211:A213 A173:A180 A155:A159 A143:A150 A135:A138 A128:A130 A120:A123 A76:A80">
      <formula1>ListeTaches</formula1>
    </dataValidation>
  </dataValidations>
  <hyperlinks>
    <hyperlink ref="E239:F239" r:id="rId1" display="Image de l'erreur 403"/>
    <hyperlink ref="E238:F238" r:id="rId2" display="Image de l'interface"/>
    <hyperlink ref="E229:F229" r:id="rId3" display="Image: Au lancement de l'application"/>
    <hyperlink ref="E230:F230" r:id="rId4" display="Image : Ajout de huit emplacements de source"/>
    <hyperlink ref="E231:F231" r:id="rId5" display="Image d'un &quot;SourceComponents&quot;"/>
    <hyperlink ref="E218:F218" r:id="rId6" display="Tâches globales"/>
    <hyperlink ref="E219:F219" r:id="rId7" display="Format ics"/>
    <hyperlink ref="E220:F220" r:id="rId8" display="Premier test (code) basé sur les tâches d'un calendrier google"/>
    <hyperlink ref="E221:F221" r:id="rId9" display="Résultat du premier test sur google calendar"/>
    <hyperlink ref="E222:F222" r:id="rId10" display="Troisième test"/>
    <hyperlink ref="E223:F223" r:id="rId11" display="Résultat du troisième test"/>
    <hyperlink ref="E211:F211" r:id="rId12" display="Tutoriel glisser/déposer"/>
    <hyperlink ref="E204:F204" r:id="rId13" display="Commentaire citant les &quot;FolderBrowserDialog&quot;"/>
    <hyperlink ref="E164:F164" r:id="rId14" display="Rétablisssement des couleurs à un textbox"/>
    <hyperlink ref="E165:F165" r:id="rId15" display="Application d'un filtre. Par Nix, sur stackOverflow"/>
    <hyperlink ref="E166:F166" r:id="rId16" display="Tutoriel &quot;Glisser déposer&quot;"/>
    <hyperlink ref="E167:F167" r:id="rId17" display="Image liste de vérifications à faire"/>
    <hyperlink ref="E109:F109" r:id="rId18" display="Image des propriété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9"/>
  <headerFooter alignWithMargins="0">
    <oddHeader>&amp;L&amp;"ETML,Normal"&amp;14ETML&amp;R&amp;14&amp;USection Informatique</oddHeader>
    <oddFooter>&amp;L&amp;14&amp;D - GGZ&amp;C&amp;14&amp;F - &amp;A&amp;R&amp;14&amp;P/&amp;N</oddFooter>
  </headerFooter>
  <drawing r:id="rId20"/>
  <legacyDrawing r:id="rId21"/>
  <controls>
    <mc:AlternateContent xmlns:mc="http://schemas.openxmlformats.org/markup-compatibility/2006">
      <mc:Choice Requires="x14">
        <control shapeId="9224" r:id="rId22" name="btnRapatriementJournal">
          <controlPr defaultSize="0" autoLine="0" r:id="rId23">
            <anchor moveWithCells="1">
              <from>
                <xdr:col>0</xdr:col>
                <xdr:colOff>104775</xdr:colOff>
                <xdr:row>0</xdr:row>
                <xdr:rowOff>85725</xdr:rowOff>
              </from>
              <to>
                <xdr:col>1</xdr:col>
                <xdr:colOff>457200</xdr:colOff>
                <xdr:row>0</xdr:row>
                <xdr:rowOff>552450</xdr:rowOff>
              </to>
            </anchor>
          </controlPr>
        </control>
      </mc:Choice>
      <mc:Fallback>
        <control shapeId="9224" r:id="rId22" name="btnRapatriementJournal"/>
      </mc:Fallback>
    </mc:AlternateContent>
    <mc:AlternateContent xmlns:mc="http://schemas.openxmlformats.org/markup-compatibility/2006">
      <mc:Choice Requires="x14">
        <control shapeId="9220" r:id="rId24" name="btnAjoutSeqJournal">
          <controlPr defaultSize="0" autoLine="0" r:id="rId25">
            <anchor moveWithCells="1">
              <from>
                <xdr:col>2</xdr:col>
                <xdr:colOff>85725</xdr:colOff>
                <xdr:row>0</xdr:row>
                <xdr:rowOff>85725</xdr:rowOff>
              </from>
              <to>
                <xdr:col>3</xdr:col>
                <xdr:colOff>447675</xdr:colOff>
                <xdr:row>0</xdr:row>
                <xdr:rowOff>561975</xdr:rowOff>
              </to>
            </anchor>
          </controlPr>
        </control>
      </mc:Choice>
      <mc:Fallback>
        <control shapeId="9220" r:id="rId2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90"/>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90"/>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90"/>
    </row>
    <row r="13" spans="1:61" ht="18.75" thickBot="1" x14ac:dyDescent="0.3">
      <c r="A13" s="211" t="s">
        <v>12</v>
      </c>
      <c r="B13" s="212"/>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3"/>
      <c r="BI13" s="90"/>
    </row>
    <row r="14" spans="1:61" ht="15.75" thickBot="1" x14ac:dyDescent="0.35">
      <c r="A14" s="103"/>
      <c r="B14" s="104"/>
      <c r="C14" s="104"/>
      <c r="D14" s="104"/>
      <c r="E14" s="214" t="s">
        <v>35</v>
      </c>
      <c r="F14" s="214"/>
      <c r="G14" s="214"/>
      <c r="H14" s="214"/>
      <c r="I14" s="104"/>
      <c r="J14" s="104"/>
      <c r="K14" s="215" t="s">
        <v>24</v>
      </c>
      <c r="L14" s="215"/>
      <c r="M14" s="215"/>
      <c r="N14" s="215"/>
      <c r="O14" s="129"/>
      <c r="P14" s="129"/>
      <c r="Q14" s="214" t="s">
        <v>36</v>
      </c>
      <c r="R14" s="214"/>
      <c r="S14" s="214"/>
      <c r="T14" s="214"/>
      <c r="U14" s="104"/>
      <c r="V14" s="104"/>
      <c r="W14" s="215" t="s">
        <v>25</v>
      </c>
      <c r="X14" s="215"/>
      <c r="Y14" s="215"/>
      <c r="Z14" s="215"/>
      <c r="AA14" s="129"/>
      <c r="AB14" s="129"/>
      <c r="AC14" s="214" t="s">
        <v>37</v>
      </c>
      <c r="AD14" s="214"/>
      <c r="AE14" s="214"/>
      <c r="AF14" s="214"/>
      <c r="AG14" s="104"/>
      <c r="AH14" s="104"/>
      <c r="AI14" s="215" t="s">
        <v>26</v>
      </c>
      <c r="AJ14" s="215"/>
      <c r="AK14" s="215"/>
      <c r="AL14" s="215"/>
      <c r="AM14" s="129"/>
      <c r="AN14" s="129"/>
      <c r="AO14" s="214" t="s">
        <v>38</v>
      </c>
      <c r="AP14" s="214"/>
      <c r="AQ14" s="214"/>
      <c r="AR14" s="214"/>
      <c r="AS14" s="104"/>
      <c r="AT14" s="104"/>
      <c r="AU14" s="215" t="s">
        <v>27</v>
      </c>
      <c r="AV14" s="215"/>
      <c r="AW14" s="215"/>
      <c r="AX14" s="215"/>
      <c r="AY14" s="129"/>
      <c r="AZ14" s="129"/>
      <c r="BA14" s="214" t="s">
        <v>39</v>
      </c>
      <c r="BB14" s="214"/>
      <c r="BC14" s="214"/>
      <c r="BD14" s="21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1" t="s">
        <v>14</v>
      </c>
      <c r="F2" s="242"/>
      <c r="G2" s="46"/>
    </row>
    <row r="3" spans="1:7" s="52" customFormat="1" x14ac:dyDescent="0.3">
      <c r="A3" s="48"/>
      <c r="B3" s="49"/>
      <c r="C3" s="152" t="str">
        <f xml:space="preserve"> IF(B3="","",setValueToTime(B3))</f>
        <v/>
      </c>
      <c r="D3" s="50"/>
      <c r="E3" s="243"/>
      <c r="F3" s="244"/>
      <c r="G3" s="51"/>
    </row>
    <row r="4" spans="1:7" s="52" customFormat="1" x14ac:dyDescent="0.3">
      <c r="A4" s="53"/>
      <c r="B4" s="54"/>
      <c r="C4" s="153" t="str">
        <f t="shared" ref="C4:C10" si="0" xml:space="preserve"> IF(B4="","",setValueToTime(B4))</f>
        <v/>
      </c>
      <c r="D4" s="55"/>
      <c r="E4" s="245"/>
      <c r="F4" s="246"/>
      <c r="G4" s="51"/>
    </row>
    <row r="5" spans="1:7" s="52" customFormat="1" x14ac:dyDescent="0.3">
      <c r="A5" s="53"/>
      <c r="B5" s="54"/>
      <c r="C5" s="153" t="str">
        <f t="shared" si="0"/>
        <v/>
      </c>
      <c r="D5" s="55"/>
      <c r="E5" s="245"/>
      <c r="F5" s="246"/>
      <c r="G5" s="51"/>
    </row>
    <row r="6" spans="1:7" s="52" customFormat="1" x14ac:dyDescent="0.3">
      <c r="A6" s="53"/>
      <c r="B6" s="54"/>
      <c r="C6" s="153" t="str">
        <f t="shared" si="0"/>
        <v/>
      </c>
      <c r="D6" s="55"/>
      <c r="E6" s="245"/>
      <c r="F6" s="246"/>
      <c r="G6" s="51"/>
    </row>
    <row r="7" spans="1:7" s="52" customFormat="1" x14ac:dyDescent="0.3">
      <c r="A7" s="54"/>
      <c r="B7" s="54"/>
      <c r="C7" s="154"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ht="15" thickBot="1" x14ac:dyDescent="0.35">
      <c r="A10" s="56"/>
      <c r="B10" s="56"/>
      <c r="C10" s="155" t="str">
        <f t="shared" si="0"/>
        <v/>
      </c>
      <c r="D10" s="57"/>
      <c r="E10" s="249"/>
      <c r="F10" s="250"/>
      <c r="G10" s="51"/>
    </row>
    <row r="11" spans="1:7" s="52" customFormat="1" ht="15" thickBot="1" x14ac:dyDescent="0.35">
      <c r="A11" s="111" t="s">
        <v>29</v>
      </c>
      <c r="B11" s="84">
        <f>SUM(B3:B10)</f>
        <v>0</v>
      </c>
      <c r="C11" s="111" t="str">
        <f xml:space="preserve"> setValueToTime(B11)</f>
        <v>0h</v>
      </c>
      <c r="D11" s="120"/>
      <c r="E11" s="247"/>
      <c r="F11" s="248"/>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1" t="s">
        <v>14</v>
      </c>
      <c r="F2" s="252"/>
      <c r="G2" s="46"/>
    </row>
    <row r="3" spans="1:7" s="52" customFormat="1" x14ac:dyDescent="0.3">
      <c r="A3" s="48"/>
      <c r="B3" s="49"/>
      <c r="C3" s="152" t="str">
        <f xml:space="preserve"> IF(B3="","",setValueToTime(B3))</f>
        <v/>
      </c>
      <c r="D3" s="50"/>
      <c r="E3" s="243"/>
      <c r="F3" s="244"/>
      <c r="G3" s="51"/>
    </row>
    <row r="4" spans="1:7" s="52" customFormat="1" x14ac:dyDescent="0.3">
      <c r="A4" s="53"/>
      <c r="B4" s="54"/>
      <c r="C4" s="153" t="str">
        <f t="shared" ref="C4:C10" si="0" xml:space="preserve"> IF(B4="","",setValueToTime(B4))</f>
        <v/>
      </c>
      <c r="D4" s="55"/>
      <c r="E4" s="245"/>
      <c r="F4" s="246"/>
      <c r="G4" s="51"/>
    </row>
    <row r="5" spans="1:7" s="52" customFormat="1" x14ac:dyDescent="0.3">
      <c r="A5" s="53"/>
      <c r="B5" s="54"/>
      <c r="C5" s="153" t="str">
        <f t="shared" si="0"/>
        <v/>
      </c>
      <c r="D5" s="55"/>
      <c r="E5" s="245"/>
      <c r="F5" s="246"/>
      <c r="G5" s="51"/>
    </row>
    <row r="6" spans="1:7" s="52" customFormat="1" x14ac:dyDescent="0.3">
      <c r="A6" s="53"/>
      <c r="B6" s="54"/>
      <c r="C6" s="153" t="str">
        <f t="shared" si="0"/>
        <v/>
      </c>
      <c r="D6" s="55"/>
      <c r="E6" s="245"/>
      <c r="F6" s="246"/>
      <c r="G6" s="51"/>
    </row>
    <row r="7" spans="1:7" s="52" customFormat="1" x14ac:dyDescent="0.3">
      <c r="A7" s="54"/>
      <c r="B7" s="54"/>
      <c r="C7" s="154"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ht="15" thickBot="1" x14ac:dyDescent="0.35">
      <c r="A10" s="56"/>
      <c r="B10" s="56"/>
      <c r="C10" s="155" t="str">
        <f t="shared" si="0"/>
        <v/>
      </c>
      <c r="D10" s="57"/>
      <c r="E10" s="249"/>
      <c r="F10" s="250"/>
      <c r="G10" s="51"/>
    </row>
    <row r="11" spans="1:7" s="52" customFormat="1" ht="15" thickBot="1" x14ac:dyDescent="0.35">
      <c r="A11" s="162" t="s">
        <v>29</v>
      </c>
      <c r="B11" s="83">
        <f>SUM(B3:B10)</f>
        <v>0</v>
      </c>
      <c r="C11" s="162" t="str">
        <f xml:space="preserve"> setValueToTime(B11)</f>
        <v>0h</v>
      </c>
      <c r="D11" s="121"/>
      <c r="E11" s="253"/>
      <c r="F11" s="25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2021-05-31T07:31:21Z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